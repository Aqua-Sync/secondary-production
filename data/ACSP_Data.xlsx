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va365.sharepoint.com/sites/int_AquaSYNC-SWG002-StefanoLarsenchair/Shared Documents/SWG002 - Stefano Larsen (chair)/Data/ACSP/"/>
    </mc:Choice>
  </mc:AlternateContent>
  <xr:revisionPtr revIDLastSave="0" documentId="8_{3715E9F7-598F-45F2-9E25-0243CD4DA6BA}" xr6:coauthVersionLast="47" xr6:coauthVersionMax="47" xr10:uidLastSave="{00000000-0000-0000-0000-000000000000}"/>
  <bookViews>
    <workbookView xWindow="9600" yWindow="0" windowWidth="9600" windowHeight="10200" xr2:uid="{00000000-000D-0000-FFFF-FFFF00000000}"/>
  </bookViews>
  <sheets>
    <sheet name="Data" sheetId="1" r:id="rId1"/>
    <sheet name="ColumnNam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I22" i="1"/>
  <c r="H22" i="1"/>
  <c r="G22" i="1"/>
  <c r="J22" i="1"/>
  <c r="J21" i="1"/>
  <c r="K21" i="1"/>
  <c r="I21" i="1"/>
  <c r="H21" i="1"/>
  <c r="G21" i="1"/>
  <c r="J17" i="1"/>
  <c r="I17" i="1"/>
  <c r="K18" i="1"/>
  <c r="J18" i="1"/>
  <c r="I18" i="1"/>
  <c r="G18" i="1"/>
  <c r="G17" i="1"/>
  <c r="F16" i="1"/>
  <c r="G16" i="1"/>
  <c r="K28" i="1"/>
  <c r="K29" i="1"/>
  <c r="K30" i="1"/>
  <c r="K31" i="1"/>
  <c r="K32" i="1"/>
  <c r="K27" i="1"/>
  <c r="K3" i="1"/>
  <c r="I15" i="1"/>
  <c r="H15" i="1"/>
  <c r="F15" i="1" s="1"/>
  <c r="K14" i="1"/>
  <c r="H14" i="1"/>
  <c r="G14" i="1"/>
  <c r="F14" i="1" s="1"/>
  <c r="K13" i="1"/>
  <c r="I13" i="1"/>
  <c r="H13" i="1"/>
  <c r="K12" i="1"/>
  <c r="I12" i="1"/>
  <c r="H12" i="1"/>
  <c r="G12" i="1"/>
  <c r="K26" i="1"/>
  <c r="E9" i="1"/>
  <c r="E7" i="1"/>
  <c r="E8" i="1"/>
  <c r="E6" i="1"/>
  <c r="K5" i="1"/>
  <c r="K4" i="1"/>
  <c r="G2" i="1"/>
  <c r="F2" i="1"/>
  <c r="F13" i="1" l="1"/>
  <c r="F12" i="1"/>
</calcChain>
</file>

<file path=xl/sharedStrings.xml><?xml version="1.0" encoding="utf-8"?>
<sst xmlns="http://schemas.openxmlformats.org/spreadsheetml/2006/main" count="582" uniqueCount="284">
  <si>
    <t>Index</t>
  </si>
  <si>
    <t>SiteID</t>
  </si>
  <si>
    <t>LON</t>
  </si>
  <si>
    <t>LAT</t>
  </si>
  <si>
    <t>ACSP</t>
  </si>
  <si>
    <t>AISP</t>
  </si>
  <si>
    <t>EphSP</t>
  </si>
  <si>
    <t>PleSP</t>
  </si>
  <si>
    <t>TriSP</t>
  </si>
  <si>
    <t>ChiSP</t>
  </si>
  <si>
    <t>otherSP</t>
  </si>
  <si>
    <t>Units</t>
  </si>
  <si>
    <t>Notes</t>
  </si>
  <si>
    <t>Stream width (m)</t>
  </si>
  <si>
    <t>Basin size (km2)</t>
  </si>
  <si>
    <t>figure_table</t>
  </si>
  <si>
    <t>Iversen_1988_RoldKilde</t>
  </si>
  <si>
    <t>mg AFDM m-2 yr-1</t>
  </si>
  <si>
    <t>Double check values; paper reports inconsistent values and units?</t>
  </si>
  <si>
    <t>Gaines_EtAl_1992_DouglasCreek</t>
  </si>
  <si>
    <t>mg DM m-2 yr-1</t>
  </si>
  <si>
    <t>Values as dry mass (not ash free). Chironomus (not Chironomidae)</t>
  </si>
  <si>
    <t>Gaines_EtAl_1992_RattlesnakeSprings</t>
  </si>
  <si>
    <t>Gaines_EtAl_1992_SnivelySprings</t>
  </si>
  <si>
    <t>Walther_Whiles_2011_BC1_Yr1</t>
  </si>
  <si>
    <t>AFDM</t>
  </si>
  <si>
    <t>Walther_Whiles_2011_BC1_Yr2</t>
  </si>
  <si>
    <t>No direct data on insects</t>
  </si>
  <si>
    <t>Walther_Whiles_2011_BC2_Yr1</t>
  </si>
  <si>
    <t>Walther_Whiles_2011_BC2_Yr2</t>
  </si>
  <si>
    <t>Stead_EtAl_2005_LoneOak</t>
  </si>
  <si>
    <t>Dry Weight</t>
  </si>
  <si>
    <t>Neves_1979_FactoryBrook</t>
  </si>
  <si>
    <t>Cant access the pdf</t>
  </si>
  <si>
    <t>Griffith_EtAl_1994_FernowExperimentalForest_WS3</t>
  </si>
  <si>
    <t>No chironomids</t>
  </si>
  <si>
    <t>Griffith_EtAl_1994_FernowExperimentalForest_WS4</t>
  </si>
  <si>
    <t>Griffith_EtAl_1994_NorthForkHickmanSlideRun</t>
  </si>
  <si>
    <t>Griffith_EtAl_1994_SouthForkRedRun</t>
  </si>
  <si>
    <t>Jackson_Fisher_1986_SycamoreCreek</t>
  </si>
  <si>
    <t>Ramirez_Pringle_1998_Sabalo</t>
  </si>
  <si>
    <r>
      <rPr>
        <i/>
        <sz val="11"/>
        <color rgb="FF000000"/>
        <rFont val="Calibri"/>
        <family val="2"/>
        <scheme val="minor"/>
      </rPr>
      <t>Size-Freq method</t>
    </r>
    <r>
      <rPr>
        <sz val="11"/>
        <color rgb="FF000000"/>
        <rFont val="Calibri"/>
        <family val="2"/>
        <scheme val="minor"/>
      </rPr>
      <t>. Habitat-weighted. Tropical. Only 8 taxa with prod (20% of insect biomass)</t>
    </r>
  </si>
  <si>
    <r>
      <rPr>
        <i/>
        <sz val="11"/>
        <color rgb="FF000000"/>
        <rFont val="Calibri"/>
        <family val="2"/>
        <scheme val="minor"/>
      </rPr>
      <t>Benke model method</t>
    </r>
    <r>
      <rPr>
        <sz val="11"/>
        <color rgb="FF000000"/>
        <rFont val="Calibri"/>
        <family val="2"/>
        <scheme val="minor"/>
      </rPr>
      <t>. Mean Riffle + Pool</t>
    </r>
  </si>
  <si>
    <t>Total AISP combining both methods above.</t>
  </si>
  <si>
    <t>Duffy_EtAl_1987_StMarysRiver_Michigan_MainChannel</t>
  </si>
  <si>
    <t>Could only find data from the lake</t>
  </si>
  <si>
    <t>Hall_EtAl_2001_BearBrook</t>
  </si>
  <si>
    <t>Hall_EtAl_2001_HubbardBrook</t>
  </si>
  <si>
    <t>Voshell_1985_NewRiver</t>
  </si>
  <si>
    <t>Not able to find report</t>
  </si>
  <si>
    <t>Cross_EtAl_2006_C53_Reference</t>
  </si>
  <si>
    <t>Nutrient addition. Include or not? (JSW: Yes...b/c we're interested in the range of production overall (and its variance), so this adds an estimate from a site with extra nutrients.)</t>
  </si>
  <si>
    <t>Cross_EtAl_2006_C54_NP_Enriched</t>
  </si>
  <si>
    <t>Huryn_1996_SuttonStream</t>
  </si>
  <si>
    <t>My results in adding up the prod.values are different from those on the paper</t>
  </si>
  <si>
    <t>Vandermyde_Whiles_2015_K02A_Closed</t>
  </si>
  <si>
    <t>Vandermyde_Whiles_2015_K02A_Open</t>
  </si>
  <si>
    <t>Vandermyde_Whiles_2015_K02A_Removal</t>
  </si>
  <si>
    <t>Vandermyde_Whiles_2015_N04D_Closed</t>
  </si>
  <si>
    <t>Vandermyde_Whiles_2015_N04D_Open</t>
  </si>
  <si>
    <t>Vandermyde_Whiles_2015_N04D_Removal</t>
  </si>
  <si>
    <t>Grubaugh_EtAl_1997_BallCreek1_M1</t>
  </si>
  <si>
    <t>g AFDM m-2 yr-1</t>
  </si>
  <si>
    <t>table 7 has some taxonomic info in terms of relative contribution to production. But it only has the top 3 taxa. Columns only sum to ~85-95%. Hence, I did not try to estimate insect only production.</t>
  </si>
  <si>
    <t>table 8</t>
  </si>
  <si>
    <t>Grubaugh_EtAl_1997_BallCreek1_S1</t>
  </si>
  <si>
    <t>Grubaugh_EtAl_1997_BallCreek2_M2</t>
  </si>
  <si>
    <t>Grubaugh_EtAl_1997_BallCreek2_S2</t>
  </si>
  <si>
    <t>Grubaugh_EtAl_1997_BallCreek3_M3</t>
  </si>
  <si>
    <t>Grubaugh_EtAl_1997_BallCreek3_S3</t>
  </si>
  <si>
    <t>Grubaugh_EtAl_1997_CoweetaCreek_M4</t>
  </si>
  <si>
    <t>Grubaugh_EtAl_1997_CoweetaCreek_M5</t>
  </si>
  <si>
    <t>Grubaugh_EtAl_1997_LittleTennesseeRiver_R1</t>
  </si>
  <si>
    <t>Grubaugh_EtAl_1997_LittleTennesseeRiver_R2</t>
  </si>
  <si>
    <t>Grubaugh_EtAl_1997_LittleTennesseeRiver_R3</t>
  </si>
  <si>
    <t>Mortensen_Simonsen_1983_BisballeBaek</t>
  </si>
  <si>
    <t>g AFDM m-2</t>
  </si>
  <si>
    <t>mean annual standing stock (not production, despite the title)</t>
  </si>
  <si>
    <t>Table 1</t>
  </si>
  <si>
    <t>Woodward_EtAl_2005_Broadstone</t>
  </si>
  <si>
    <t>g DM m-2 yr-1</t>
  </si>
  <si>
    <t>Table 5</t>
  </si>
  <si>
    <t>Venarsky_EtAl_2014_Hering</t>
  </si>
  <si>
    <t>Cave System. Added crayfish production (table 2) to non-crayfish macroinvertebrate production (table 4)</t>
  </si>
  <si>
    <t>Tables 2, 4</t>
  </si>
  <si>
    <t>Venarsky_EtAl_2014_Limrock</t>
  </si>
  <si>
    <t>Venarsky_EtAl_2014_TonySinks</t>
  </si>
  <si>
    <t>McCutchan_Lewis_2002_Alpine_9495</t>
  </si>
  <si>
    <t xml:space="preserve">1994 to 1995: "Other taxa" in Appendix 1...not clear if that is only insects or not. It was left out </t>
  </si>
  <si>
    <t>Appendix Table 1/ Table 2</t>
  </si>
  <si>
    <t>McCutchan_Lewis_2002_Alpine_9596</t>
  </si>
  <si>
    <t xml:space="preserve">1995 to 1996: "Other taxa" in Appendix 1...not clear if that is only insects or not. It was left out </t>
  </si>
  <si>
    <t>McCutchan_Lewis_2002_Foothills_9495</t>
  </si>
  <si>
    <t>McCutchan_Lewis_2002_Foothills_9596</t>
  </si>
  <si>
    <t>McCutchan_Lewis_2002_Montane_9495</t>
  </si>
  <si>
    <t>McCutchan_Lewis_2002_Montane_9596</t>
  </si>
  <si>
    <t>McCutchan_Lewis_2002_Subalpine_9495</t>
  </si>
  <si>
    <t>McCutchan_Lewis_2002_Subalpine_9596</t>
  </si>
  <si>
    <t>Entrekin_EtAl_2009_ShaneCreek_AfterWood_yr1</t>
  </si>
  <si>
    <t>Entrekin et al. (2007) J.N.Am.Benthol.Soc. has similar data. Did not include those to avoid redundancy.</t>
  </si>
  <si>
    <t>Figure 2</t>
  </si>
  <si>
    <t>Entrekin_EtAl_2009_ShaneCreek_AfterWood_yr2</t>
  </si>
  <si>
    <t>Entrekin_EtAl_2009_ShaneCreek_AfterWood_yr3</t>
  </si>
  <si>
    <t>Entrekin_EtAl_2009_StateCreek_AfterWood_yr1</t>
  </si>
  <si>
    <t>Entrekin_EtAl_2009_StateCreek_AfterWood_yr2</t>
  </si>
  <si>
    <t>Entrekin_EtAl_2009_StateCreek_AfterWood_yr3</t>
  </si>
  <si>
    <t>Entrekin_EtAl_2009_WaltonCreek_AfterWood_yr1</t>
  </si>
  <si>
    <t>Entrekin_EtAl_2009_WaltonCreek_AfterWood_yr2</t>
  </si>
  <si>
    <t>Entrekin_EtAl_2009_WaltonCreek_AfterWood_yr3</t>
  </si>
  <si>
    <t>Chadwick_Huryn_2005_EBB_Yr1</t>
  </si>
  <si>
    <t>Results paragraph, first sentence</t>
  </si>
  <si>
    <t>Chadwick_Huryn_2005_EBB_Yr2</t>
  </si>
  <si>
    <t>Chadwick_Huryn_2005_WBB_N_Yr1</t>
  </si>
  <si>
    <t>Chadwick_Huryn_2005_WBB_N_Yr2</t>
  </si>
  <si>
    <t>Chadwick_Huryn_2007_EU</t>
  </si>
  <si>
    <t>Taxa-specific results are given in appendix. But it is not clear if the values are habitat-weighted. Hence, they were not entered here.</t>
  </si>
  <si>
    <t>pg244, 3rd paragraph</t>
  </si>
  <si>
    <t>Chadwick_Huryn_2007_BB</t>
  </si>
  <si>
    <t>Chadwick_Huryn_2007_ED</t>
  </si>
  <si>
    <t>Chadwick_Huryn_2007_SWP</t>
  </si>
  <si>
    <t>Chadwick_Huryn_2007_WD</t>
  </si>
  <si>
    <t>Chadwick_Huryn_2007_WU</t>
  </si>
  <si>
    <t>Georgian_Wallace_1983_LowerShopeFork</t>
  </si>
  <si>
    <t>Did not enter. the abstract says 1195 mg AFDM m2 y1, but that appears to be based only on the "top 6 most abundant" taxa. It's not clear what percentage of total mass that those top 6 taxa comprise. If they make up less than ~ 95%, then the total annual production is likely not reliable.</t>
  </si>
  <si>
    <t>Junker_Cross_2014_WestBlacktailDeerCreek</t>
  </si>
  <si>
    <t xml:space="preserve">In Table 1, only insects are listed. There is an "other" category that has 77 mg AFDM m2 y1. That amount is included in the total here. in other words, I assumed that all community production = all insect production. </t>
  </si>
  <si>
    <t>Fisher_Gray_1983_SycamoreCreek</t>
  </si>
  <si>
    <t>Did not enter. The data are for collectors only. They do have a table with annual prod for total benthos from other studies. Need to check if we already include those studies, though.</t>
  </si>
  <si>
    <t>Hopkins_1976_HorokiwiStream_Gyton_Open</t>
  </si>
  <si>
    <t>No Insect production reported</t>
  </si>
  <si>
    <t>Hopkins_1976_HorokiwiStream_Bush_Shaded</t>
  </si>
  <si>
    <t>Hopkins_1976_HorokiwiStream_Lower_Open</t>
  </si>
  <si>
    <t>Hopkins_1976_HinauStream_NorthBranch_Open</t>
  </si>
  <si>
    <t>Hopkins_1976_HinauStream_SouthBranch_Closed</t>
  </si>
  <si>
    <t>Hopkins_1976_HinauStream_Main_OrgEnrich</t>
  </si>
  <si>
    <t>Johnson_EtAl_2013_AshRun</t>
  </si>
  <si>
    <t>Chironomid values are actually nematoceran article; Paper derives benthic production from emergence; Data extracted from Figure 2 using https://apps.automeris.io/wpd/;</t>
  </si>
  <si>
    <t>Johnson_EtAl_2013_BucklesRun</t>
  </si>
  <si>
    <t>Johnson_EtAl_2013_HardwayRun</t>
  </si>
  <si>
    <t>Johnson_EtAl_2013_JackRun</t>
  </si>
  <si>
    <t>Johnson_EtAl_2013_LaurelRun</t>
  </si>
  <si>
    <t>Johnson_EtAl_2013_NeilRun</t>
  </si>
  <si>
    <t>Johnson_EtAl_2013_PetersRun</t>
  </si>
  <si>
    <t>Johnson_EtAl_2013_SugarcampRun</t>
  </si>
  <si>
    <t>Johnson_EtAl_2013_Beech</t>
  </si>
  <si>
    <t>Johnson_EtAl_2013_Lost</t>
  </si>
  <si>
    <t>Hall_EtAl_2006_FireholeRiver_Riffle</t>
  </si>
  <si>
    <t>Hall_EtAl_2006_FireholeRiver_Vegetated</t>
  </si>
  <si>
    <t>Hall_EtAl_2006_PolecatCreek</t>
  </si>
  <si>
    <t>Hall_EtAl_2006_GibbonRiver</t>
  </si>
  <si>
    <t>Cross_EtAl_2013_ColoradoRiver_Site2</t>
  </si>
  <si>
    <t>Average of three sampled years</t>
  </si>
  <si>
    <t>Cross_EtAl_2013_ColoradoRiver_Site3</t>
  </si>
  <si>
    <t>Cross_EtAl_2013_ColoradoRiver_Site4</t>
  </si>
  <si>
    <t>Cross_EtAl_2013_ColoradoRiver_Site5</t>
  </si>
  <si>
    <t>Cross_EtAl_2013_ColoradoRiver_Site6</t>
  </si>
  <si>
    <t>Carlisle_Clements_2003_HighZinc_Snake</t>
  </si>
  <si>
    <t>Carlisle_Clements_2003_IntermediateZinc_Mosquito</t>
  </si>
  <si>
    <t>Carlisle_Clements_2003_LowZinc_Buckskin</t>
  </si>
  <si>
    <t>Carlisle_Clements_2003_Reference1_EastFork</t>
  </si>
  <si>
    <t>Carlisle_Clements_2003_Reference2_FourMile</t>
  </si>
  <si>
    <t>Wallace_EtAl_1995_DDP</t>
  </si>
  <si>
    <t>Insect production not reported; Cambarus (crayfish) production divided equally among the functional feeding groups</t>
  </si>
  <si>
    <t>Wallace_EtAl_1995_DDT</t>
  </si>
  <si>
    <t>Wallace_EtAl_1995_RP</t>
  </si>
  <si>
    <t>Wallace_EtAl_1995_RT</t>
  </si>
  <si>
    <t>Krueger_Waters_1983_CaribouRiver</t>
  </si>
  <si>
    <t>g wet mass m-2 yr-1</t>
  </si>
  <si>
    <t>wet mass</t>
  </si>
  <si>
    <t>Krueger_Waters_1983_NorthBranchCreek</t>
  </si>
  <si>
    <t>Krueger_Waters_1983_BlackhoofRiver</t>
  </si>
  <si>
    <t>Colon-Gaud_EtAl_2009_ElCope_Site1</t>
  </si>
  <si>
    <t>habitat weighted production (?)</t>
  </si>
  <si>
    <t>Web Appendix 1.</t>
  </si>
  <si>
    <t>Colon-Gaud_EtAl_2009_ElCope_Site2</t>
  </si>
  <si>
    <t>Colon-Gaud_EtAl_2009_Fortuna_Site1</t>
  </si>
  <si>
    <t>Colon-Gaud_EtAl_2009_Fortuna_Site2</t>
  </si>
  <si>
    <t>Leland_EtAl_1986_ConvictCreek</t>
  </si>
  <si>
    <t>Table 3</t>
  </si>
  <si>
    <t>Miller_1985_Site1</t>
  </si>
  <si>
    <t>From article: "Production estimates obtained by multiplying an assumed annual turnover ratio by average standing biomass are indicated by (t). All others were calculated using the size-frequency method."</t>
  </si>
  <si>
    <t>Tables 2,3,4,5</t>
  </si>
  <si>
    <t>Miller_1985_Site2</t>
  </si>
  <si>
    <t>Miller_1985_Site3</t>
  </si>
  <si>
    <t>Miller_1985_Site4</t>
  </si>
  <si>
    <t>Miller_1985_SitePB</t>
  </si>
  <si>
    <t>Anderson_Rosemond_2007_Forested</t>
  </si>
  <si>
    <t>Anderson_Rosemond_2007_BeaverPond</t>
  </si>
  <si>
    <t>Measures beaver impact.</t>
  </si>
  <si>
    <t>Anderson_Rosemond_2007_Downstream</t>
  </si>
  <si>
    <t>Lugthart_Wallace_1992_CoweetaCatchment53_Yr1</t>
  </si>
  <si>
    <t>Yr1: before pesticide</t>
  </si>
  <si>
    <t>Lugthart_Wallace_1992_CoweetaCatchment54_Yr1</t>
  </si>
  <si>
    <t>Yr2: after pesticide</t>
  </si>
  <si>
    <t>Lugthart_Wallace_1992_CoweetaCatchment54_Yr2</t>
  </si>
  <si>
    <t>Lugthart_Wallace_1992_CoweetaCatchment55_Yr1</t>
  </si>
  <si>
    <t>Lugthart_Wallace_1992_CoweetaCatchment55_Yr2</t>
  </si>
  <si>
    <t>Shieh_EtAl_2003_CacheLaPoudreRiver_Site4</t>
  </si>
  <si>
    <t>Specific taxon production is available in Table 3 but only for "first three dominant taxa", and listed only by percentage of total production and thus can't be used. Data also available for Sites 1-3, but these correspond well with data from Shieh et al. 2002 also in this dataset, so not duplicated here. Data extracted from figure using WebPlot Digitizer (https://apps.automeris.io/wpd/).</t>
  </si>
  <si>
    <t>Fig 1</t>
  </si>
  <si>
    <t>Shieh_EtAl_2003_CacheLaPoudreRiver_Site5</t>
  </si>
  <si>
    <t>Shieh_EtAl_2003_CacheLaPoudreRiver_Site6</t>
  </si>
  <si>
    <t>Ely_Wallace_2010_BigHurricaneBranch_Disturbed</t>
  </si>
  <si>
    <t>Only lists total production and production by FFG. Coweeta LTER.</t>
  </si>
  <si>
    <t>59 ha</t>
  </si>
  <si>
    <t>Table 2</t>
  </si>
  <si>
    <t>Ely_Wallace_2010_HughWhiteCreek_Reference</t>
  </si>
  <si>
    <t>61 ha</t>
  </si>
  <si>
    <t>Stone_Wallace_1998_BigHurricaneBranch_CatchC7</t>
  </si>
  <si>
    <t>Coweeta LTER. FFG by habitat and overall as well, but cannot parse species or order information from this. Assuming column names in table are in error ("Disturbed: Reference" should be "Disturbed: Depositional" and "Habitat-weighted: Depositional" should be "Habitat-weighted: Disturbed".</t>
  </si>
  <si>
    <t>59.5 ha</t>
  </si>
  <si>
    <t>Table 4</t>
  </si>
  <si>
    <t>Stone_Wallace_1998_HughWhiteCreek_CatchC14</t>
  </si>
  <si>
    <t>61.1 ha</t>
  </si>
  <si>
    <t>Smock_EtAl_1992_BuzzardsBranch</t>
  </si>
  <si>
    <t>Specific taxon production is available in Table 1 but broken up by small habitat sub portions in a way that can't be used here. Only used data from in channel, on surface (not floodplain nor hyporheic).</t>
  </si>
  <si>
    <t>Fig 4</t>
  </si>
  <si>
    <t>Smock_EtAl_1992_ColliersCreek</t>
  </si>
  <si>
    <t>Fig 5</t>
  </si>
  <si>
    <t>Robinson_Minshall_1998_BirchCreek</t>
  </si>
  <si>
    <t>Lists width as 8-12 m. otherSp is only Coleoptera. Only insects were considered in this study.</t>
  </si>
  <si>
    <t>Robinson_Minshall_1998_LittleLostRiver</t>
  </si>
  <si>
    <t>Lists width as 5-10 m. otherSp is only Coleoptera. Only insects were considered in this study.</t>
  </si>
  <si>
    <t>Johnson_EtAl_2013_HartsRun</t>
  </si>
  <si>
    <t>Backed out production from available data on 5 most dominant taxa, along with % these 5 taxa contribute to overall production. Results of this approach are robust upon verification and match Fig. 4.</t>
  </si>
  <si>
    <t>Johnson_EtAl_2013_WilsonCreek</t>
  </si>
  <si>
    <t>Johnson_EtAl_2013_SinkingCreek</t>
  </si>
  <si>
    <t>Johnson_EtAl_2013_LittleGooseCreek</t>
  </si>
  <si>
    <t>Johnson_EtAl_2013_GooseCreek</t>
  </si>
  <si>
    <t>Johnson_EtAl_2013_ChenowethRun</t>
  </si>
  <si>
    <t>Stagliano_Whiles_2002_KingsCreek</t>
  </si>
  <si>
    <t>Also includes Coleoptera, Megaloptera, and Odonata data, in addition to many non-insect groups. Chironomidae from summing subfamilies in Tables 4, 5.</t>
  </si>
  <si>
    <t>134 ha</t>
  </si>
  <si>
    <t>Tables 3, 4, 5</t>
  </si>
  <si>
    <t>Smock_EtAl_1985_CedarCreek_Upstream</t>
  </si>
  <si>
    <t>Specific taxon production is available in Table 2 but only for "major taxa" only, which are ~half or less of total production and thus can't be used..</t>
  </si>
  <si>
    <t>Table</t>
  </si>
  <si>
    <t>Smock_EtAl_1985_CedarCreek_Swamp</t>
  </si>
  <si>
    <t>Smock_EtAl_1985_CedarCreek_Downstream</t>
  </si>
  <si>
    <t>Tod_SchmidAraya_2009_Rover_Lambourn_Macrophyte</t>
  </si>
  <si>
    <t>Lists width as 3-6 m.</t>
  </si>
  <si>
    <t>Tod_SchmidAraya_2009_Rover_Lambourn_Gravel</t>
  </si>
  <si>
    <t>Tables 1, 2</t>
  </si>
  <si>
    <t>Fisher_1977_FortRiver</t>
  </si>
  <si>
    <t>Whiting_EtAl_2011_KingsCreek_Grass</t>
  </si>
  <si>
    <t>Only lists coordinates for general study area.</t>
  </si>
  <si>
    <t>Whiting_EtAl_2011_KingsCreek_Shrub</t>
  </si>
  <si>
    <t>Whiting_EtAl_2011_KingsCreek_GalleryForest</t>
  </si>
  <si>
    <t>Hannesdottir_EtAl_2013_HengladalsaRiverTributary_SiteIS11</t>
  </si>
  <si>
    <t>Only lists coordinates for general study area. Data extracted from figure using WebPlot Digitizer (https://apps.automeris.io/wpd/).</t>
  </si>
  <si>
    <t>Fig 16</t>
  </si>
  <si>
    <t>Hannesdottir_EtAl_2013_HengladalsaRiverTributary_SiteIS7</t>
  </si>
  <si>
    <t>Only lists coordinates for general study area. Data extracted from figure using WebPlot Digitizer (https://apps.automeris.io/wpd/)</t>
  </si>
  <si>
    <t>Hannesdottir_EtAl_2013_HengladalsaRiverTributary_SiteIS9</t>
  </si>
  <si>
    <t>Hannesdottir_EtAl_2013_HengladalsaRiverTributary_SiteIS6</t>
  </si>
  <si>
    <t>Hannesdottir_EtAl_2013_HengladalsaRiverTributary_SiteIS1</t>
  </si>
  <si>
    <t>Hannesdottir_EtAl_2013_HengladalsaRiverTributary_SiteIS5</t>
  </si>
  <si>
    <t>Edwards_EtAl_1989_StClaire_MainChannel</t>
  </si>
  <si>
    <t>Width is probably a lower bound. Text states "The width of the SCDRS ranges from 250 m in the Upper St. Clair River to 3 000 m in the lower Detroit River."</t>
  </si>
  <si>
    <t>Edwards_EtAl_1989_Detroit_MainChannel</t>
  </si>
  <si>
    <t>Width is probably an upper bound. Text states "The width of the SCDRS ranges from 250 m in the Upper St. Clair River to 3 000 m in the lower Detroit River."</t>
  </si>
  <si>
    <t>Edwards_EtAl_1989_StLawrence_MainChannel</t>
  </si>
  <si>
    <t>Shieh_EtAl_2002_CacheLaPoudreRiver_Site1</t>
  </si>
  <si>
    <t>Shieh_EtAl_2002_CacheLaPoudreRiver_Site2</t>
  </si>
  <si>
    <t>Shieh_EtAl_2002_CacheLaPoudreRiver_Site3</t>
  </si>
  <si>
    <t>Benke_EtAl_1984_SatillaRiver_Lower</t>
  </si>
  <si>
    <t>Applied habitat proportions from the text for snag:sand:mud habitat from pp50. Data are also available for Odonata, Coleoptera, and Oligochaeta. Width data probably an underestimate; likely excludes backwater "mud" habitat. Says basin size "more than double[s]" from upper to lower site.</t>
  </si>
  <si>
    <t>Tables 4, 5, 6, 7, 8, 9, 10, 12, 13, 14, 15</t>
  </si>
  <si>
    <t>Benke_EtAl_1984_SatillaRiver_Upper</t>
  </si>
  <si>
    <t>Index = copy from DataFileS1</t>
  </si>
  <si>
    <t>SiteID = copy from DataFileS1</t>
  </si>
  <si>
    <t>LAT = copy from location file </t>
  </si>
  <si>
    <t>LON = copy from location file </t>
  </si>
  <si>
    <t>ACSP = annual community secondary production </t>
  </si>
  <si>
    <t>AISP = annual insect secondary production </t>
  </si>
  <si>
    <t>EphSP = Ephemeroptera Secondary production </t>
  </si>
  <si>
    <t>TriSP = Trichoptera secondary</t>
  </si>
  <si>
    <t>PleSP = Plecoptera secondary production </t>
  </si>
  <si>
    <t>ChiSP = Chironomid Secondary production </t>
  </si>
  <si>
    <t>OtherSP= other secondary production </t>
  </si>
  <si>
    <t>Units = units for secondary production </t>
  </si>
  <si>
    <t>Notes = comments about the study  </t>
  </si>
  <si>
    <t>Stream width=as reported in paper</t>
  </si>
  <si>
    <t>Basin size = as reported in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</si>
</sst>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1" xfId="0" applyBorder="1" applyAlignment="1">
      <alignment readingOrder="1"/>
    </xf>
    <xf numFmtId="0" fontId="0" fillId="0" borderId="2" xfId="0" applyBorder="1" applyAlignment="1">
      <alignment readingOrder="1"/>
    </xf>
    <xf numFmtId="0" fontId="0" fillId="0" borderId="3" xfId="0" applyBorder="1" applyAlignment="1">
      <alignment readingOrder="1"/>
    </xf>
    <xf numFmtId="0" fontId="0" fillId="0" borderId="2" xfId="0" applyBorder="1" applyAlignment="1">
      <alignment wrapText="1" readingOrder="1"/>
    </xf>
    <xf numFmtId="0" fontId="0" fillId="0" borderId="4" xfId="0" applyBorder="1" applyAlignment="1">
      <alignment readingOrder="1"/>
    </xf>
    <xf numFmtId="0" fontId="0" fillId="0" borderId="5" xfId="0" applyBorder="1" applyAlignment="1">
      <alignment readingOrder="1"/>
    </xf>
    <xf numFmtId="0" fontId="0" fillId="0" borderId="6" xfId="0" applyBorder="1" applyAlignment="1">
      <alignment readingOrder="1"/>
    </xf>
    <xf numFmtId="0" fontId="0" fillId="0" borderId="0" xfId="0" applyAlignment="1">
      <alignment wrapText="1"/>
    </xf>
    <xf numFmtId="0" fontId="2" fillId="0" borderId="2" xfId="0" applyFont="1" applyBorder="1" applyAlignment="1">
      <alignment readingOrder="1"/>
    </xf>
    <xf numFmtId="0" fontId="2" fillId="0" borderId="7" xfId="0" applyFont="1" applyBorder="1" applyAlignment="1">
      <alignment readingOrder="1"/>
    </xf>
    <xf numFmtId="0" fontId="2" fillId="2" borderId="0" xfId="0" applyFont="1" applyFill="1"/>
    <xf numFmtId="0" fontId="3" fillId="2" borderId="0" xfId="0" applyFont="1" applyFill="1"/>
    <xf numFmtId="0" fontId="0" fillId="2" borderId="0" xfId="0" applyFill="1"/>
    <xf numFmtId="0" fontId="1" fillId="2" borderId="0" xfId="0" applyFont="1" applyFill="1"/>
    <xf numFmtId="0" fontId="2" fillId="3" borderId="0" xfId="0" applyFont="1" applyFill="1"/>
    <xf numFmtId="0" fontId="3" fillId="3" borderId="0" xfId="0" applyFont="1" applyFill="1"/>
    <xf numFmtId="0" fontId="0" fillId="3" borderId="0" xfId="0" applyFill="1"/>
    <xf numFmtId="0" fontId="1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4"/>
  <sheetViews>
    <sheetView tabSelected="1" workbookViewId="0">
      <pane ySplit="1" topLeftCell="A156" activePane="bottomLeft" state="frozen"/>
      <selection pane="bottomLeft" activeCell="J167" sqref="J167"/>
    </sheetView>
  </sheetViews>
  <sheetFormatPr defaultColWidth="8.7109375" defaultRowHeight="15" customHeight="1"/>
  <cols>
    <col min="2" max="2" width="48.42578125" bestFit="1" customWidth="1"/>
    <col min="3" max="3" width="8.85546875" bestFit="1" customWidth="1"/>
    <col min="4" max="4" width="7.85546875" bestFit="1" customWidth="1"/>
    <col min="12" max="12" width="19.28515625" customWidth="1"/>
    <col min="13" max="13" width="17.42578125" customWidth="1"/>
    <col min="14" max="14" width="15.5703125" customWidth="1"/>
  </cols>
  <sheetData>
    <row r="1" spans="1:16" ht="15" customHeight="1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" customHeight="1">
      <c r="A2" s="2">
        <v>193</v>
      </c>
      <c r="B2" s="2" t="s">
        <v>16</v>
      </c>
      <c r="C2">
        <v>9.8829999999999991</v>
      </c>
      <c r="D2">
        <v>56.767000000000003</v>
      </c>
      <c r="F2">
        <f>G2+H2+K2</f>
        <v>2780</v>
      </c>
      <c r="G2">
        <f>2.02*1000</f>
        <v>2020</v>
      </c>
      <c r="H2">
        <v>580</v>
      </c>
      <c r="K2">
        <v>180</v>
      </c>
      <c r="L2" t="s">
        <v>17</v>
      </c>
      <c r="M2" t="s">
        <v>18</v>
      </c>
    </row>
    <row r="3" spans="1:16" ht="15" customHeight="1">
      <c r="A3" s="2">
        <v>38</v>
      </c>
      <c r="B3" s="2" t="s">
        <v>19</v>
      </c>
      <c r="C3">
        <v>-120</v>
      </c>
      <c r="D3">
        <v>47.61</v>
      </c>
      <c r="F3">
        <v>23219</v>
      </c>
      <c r="G3">
        <v>884</v>
      </c>
      <c r="H3">
        <v>183</v>
      </c>
      <c r="I3">
        <v>2550</v>
      </c>
      <c r="J3">
        <v>4920</v>
      </c>
      <c r="K3">
        <f>9358-4920+44</f>
        <v>4482</v>
      </c>
      <c r="L3" t="s">
        <v>20</v>
      </c>
      <c r="M3" t="s">
        <v>21</v>
      </c>
      <c r="O3">
        <v>530</v>
      </c>
    </row>
    <row r="4" spans="1:16" ht="15" customHeight="1">
      <c r="A4" s="2">
        <v>39</v>
      </c>
      <c r="B4" s="2" t="s">
        <v>22</v>
      </c>
      <c r="C4">
        <v>-119.72</v>
      </c>
      <c r="D4">
        <v>46.46</v>
      </c>
      <c r="F4">
        <v>16356</v>
      </c>
      <c r="G4">
        <v>2554</v>
      </c>
      <c r="I4">
        <v>735</v>
      </c>
      <c r="J4">
        <v>489</v>
      </c>
      <c r="K4">
        <f>(12687-J4)+372</f>
        <v>12570</v>
      </c>
      <c r="L4" t="s">
        <v>20</v>
      </c>
      <c r="O4">
        <v>350</v>
      </c>
    </row>
    <row r="5" spans="1:16" ht="15" customHeight="1">
      <c r="A5" s="2">
        <v>40</v>
      </c>
      <c r="B5" s="2" t="s">
        <v>23</v>
      </c>
      <c r="C5">
        <v>-119.79</v>
      </c>
      <c r="D5">
        <v>46.49</v>
      </c>
      <c r="F5">
        <v>14154</v>
      </c>
      <c r="G5">
        <v>7077</v>
      </c>
      <c r="I5">
        <v>1300</v>
      </c>
      <c r="J5">
        <v>1390</v>
      </c>
      <c r="K5">
        <f>5638-J5+139</f>
        <v>4387</v>
      </c>
      <c r="L5" t="s">
        <v>20</v>
      </c>
      <c r="O5">
        <v>40</v>
      </c>
    </row>
    <row r="6" spans="1:16" ht="15" customHeight="1">
      <c r="A6" s="2">
        <v>120</v>
      </c>
      <c r="B6" s="2" t="s">
        <v>24</v>
      </c>
      <c r="C6" s="2">
        <v>-89.16</v>
      </c>
      <c r="D6" s="2">
        <v>37.409999999999997</v>
      </c>
      <c r="E6">
        <f>(30.851+21.327)*1000</f>
        <v>52178</v>
      </c>
      <c r="L6" t="s">
        <v>17</v>
      </c>
      <c r="M6" t="s">
        <v>25</v>
      </c>
      <c r="N6">
        <v>6.4</v>
      </c>
    </row>
    <row r="7" spans="1:16" ht="15" customHeight="1">
      <c r="A7" s="2">
        <v>121</v>
      </c>
      <c r="B7" s="2" t="s">
        <v>26</v>
      </c>
      <c r="C7" s="2">
        <v>-89.16</v>
      </c>
      <c r="D7" s="2">
        <v>37.409999999999997</v>
      </c>
      <c r="E7">
        <f>(15.902+18.561)*1000</f>
        <v>34463</v>
      </c>
      <c r="M7" s="1" t="s">
        <v>27</v>
      </c>
      <c r="N7">
        <v>6.4</v>
      </c>
    </row>
    <row r="8" spans="1:16" ht="15" customHeight="1">
      <c r="A8">
        <v>122</v>
      </c>
      <c r="B8" t="s">
        <v>28</v>
      </c>
      <c r="C8" s="2">
        <v>-89.15</v>
      </c>
      <c r="D8" s="2">
        <v>37.4</v>
      </c>
      <c r="E8">
        <f>(23.886+28.267)*1000</f>
        <v>52153</v>
      </c>
      <c r="M8" s="1" t="s">
        <v>27</v>
      </c>
      <c r="N8">
        <v>4.5999999999999996</v>
      </c>
    </row>
    <row r="9" spans="1:16" ht="15" customHeight="1">
      <c r="A9">
        <v>123</v>
      </c>
      <c r="B9" t="s">
        <v>29</v>
      </c>
      <c r="C9" s="2">
        <v>-89.15</v>
      </c>
      <c r="D9" s="2">
        <v>37.4</v>
      </c>
      <c r="E9">
        <f>(17.197+13.299)*1000</f>
        <v>30496</v>
      </c>
      <c r="M9" s="1" t="s">
        <v>27</v>
      </c>
      <c r="N9">
        <v>4.5999999999999996</v>
      </c>
    </row>
    <row r="10" spans="1:16" ht="15" customHeight="1">
      <c r="A10" s="2">
        <v>219</v>
      </c>
      <c r="B10" s="2" t="s">
        <v>30</v>
      </c>
      <c r="C10" s="2">
        <v>0.1</v>
      </c>
      <c r="D10" s="2">
        <v>51.075000000000003</v>
      </c>
      <c r="E10">
        <v>5220</v>
      </c>
      <c r="F10">
        <v>2450</v>
      </c>
      <c r="G10">
        <v>70</v>
      </c>
      <c r="H10">
        <v>850</v>
      </c>
      <c r="I10">
        <v>460</v>
      </c>
      <c r="J10">
        <v>850</v>
      </c>
      <c r="K10">
        <v>230</v>
      </c>
      <c r="L10" t="s">
        <v>20</v>
      </c>
      <c r="M10" t="s">
        <v>31</v>
      </c>
      <c r="N10">
        <v>3</v>
      </c>
    </row>
    <row r="11" spans="1:16" ht="15" customHeight="1">
      <c r="A11" s="2">
        <v>88</v>
      </c>
      <c r="B11" s="2" t="s">
        <v>32</v>
      </c>
      <c r="C11" s="2">
        <v>-73.03</v>
      </c>
      <c r="D11" s="2">
        <v>42.34</v>
      </c>
      <c r="M11" s="1" t="s">
        <v>33</v>
      </c>
    </row>
    <row r="12" spans="1:16" ht="15" customHeight="1">
      <c r="A12" s="2">
        <v>42</v>
      </c>
      <c r="B12" s="2" t="s">
        <v>34</v>
      </c>
      <c r="C12" s="2">
        <v>-79.680000000000007</v>
      </c>
      <c r="D12" s="2">
        <v>39.049999999999997</v>
      </c>
      <c r="E12">
        <v>2061</v>
      </c>
      <c r="F12" s="22">
        <f>SUM(G12:K12)</f>
        <v>1666.2</v>
      </c>
      <c r="G12">
        <f>(12.3+26.1)</f>
        <v>38.400000000000006</v>
      </c>
      <c r="H12">
        <f>99.5+29+32.7+278.6+0.5</f>
        <v>440.3</v>
      </c>
      <c r="I12">
        <f>469+1.8</f>
        <v>470.8</v>
      </c>
      <c r="K12">
        <f>49.7+3.3+663.7</f>
        <v>716.7</v>
      </c>
      <c r="L12" t="s">
        <v>20</v>
      </c>
      <c r="M12" t="s">
        <v>35</v>
      </c>
      <c r="N12">
        <v>2</v>
      </c>
    </row>
    <row r="13" spans="1:16" ht="15" customHeight="1">
      <c r="A13" s="2">
        <v>43</v>
      </c>
      <c r="B13" s="2" t="s">
        <v>36</v>
      </c>
      <c r="C13" s="2">
        <v>-79.680000000000007</v>
      </c>
      <c r="D13" s="2">
        <v>39.049999999999997</v>
      </c>
      <c r="E13">
        <v>1557</v>
      </c>
      <c r="F13">
        <f t="shared" ref="F13:F15" si="0">SUM(G13:K13)</f>
        <v>1243.3000000000002</v>
      </c>
      <c r="G13">
        <v>73.2</v>
      </c>
      <c r="H13">
        <f>189.3+60.4+34+362.1</f>
        <v>645.80000000000007</v>
      </c>
      <c r="I13">
        <f>0.7+9.1+13.3+224.6</f>
        <v>247.7</v>
      </c>
      <c r="K13">
        <f>6.2+15.4+255</f>
        <v>276.60000000000002</v>
      </c>
      <c r="L13" t="s">
        <v>20</v>
      </c>
      <c r="N13">
        <v>2</v>
      </c>
    </row>
    <row r="14" spans="1:16" ht="15" customHeight="1">
      <c r="A14" s="2">
        <v>44</v>
      </c>
      <c r="B14" s="2" t="s">
        <v>37</v>
      </c>
      <c r="C14" s="2">
        <v>-79.66</v>
      </c>
      <c r="D14" s="2">
        <v>39.32</v>
      </c>
      <c r="E14">
        <v>3772</v>
      </c>
      <c r="F14">
        <f t="shared" si="0"/>
        <v>888</v>
      </c>
      <c r="G14">
        <f>1.3+77.9</f>
        <v>79.2</v>
      </c>
      <c r="H14">
        <f>191.7+10.1+35.4+22.9</f>
        <v>260.09999999999997</v>
      </c>
      <c r="I14">
        <v>83.5</v>
      </c>
      <c r="K14">
        <f>461.6+3.6</f>
        <v>465.20000000000005</v>
      </c>
      <c r="L14" t="s">
        <v>20</v>
      </c>
      <c r="N14">
        <v>2</v>
      </c>
    </row>
    <row r="15" spans="1:16" ht="15" customHeight="1">
      <c r="A15" s="2">
        <v>45</v>
      </c>
      <c r="B15" s="2" t="s">
        <v>38</v>
      </c>
      <c r="C15" s="2">
        <v>-79.513000000000005</v>
      </c>
      <c r="D15" s="2">
        <v>39.052999999999997</v>
      </c>
      <c r="E15">
        <v>1189</v>
      </c>
      <c r="F15">
        <f t="shared" si="0"/>
        <v>1060.6000000000001</v>
      </c>
      <c r="G15">
        <v>60.7</v>
      </c>
      <c r="H15">
        <f>523+221.7+52+106.2+3.9</f>
        <v>906.80000000000007</v>
      </c>
      <c r="I15">
        <f>1.8+0.3+5.8+82.8</f>
        <v>90.7</v>
      </c>
      <c r="K15">
        <v>2.4</v>
      </c>
      <c r="L15" t="s">
        <v>20</v>
      </c>
      <c r="N15">
        <v>2.7</v>
      </c>
    </row>
    <row r="16" spans="1:16" ht="15" customHeight="1">
      <c r="A16" s="2">
        <v>148</v>
      </c>
      <c r="B16" s="2" t="s">
        <v>39</v>
      </c>
      <c r="C16" s="2">
        <v>-111.5</v>
      </c>
      <c r="D16" s="2">
        <v>33.75</v>
      </c>
      <c r="F16">
        <f>129.9*1000</f>
        <v>129900</v>
      </c>
      <c r="G16">
        <f>(19.5+0.6+18.5+17)*1000</f>
        <v>55600</v>
      </c>
      <c r="I16">
        <v>1390</v>
      </c>
      <c r="J16">
        <v>5830</v>
      </c>
      <c r="L16" t="s">
        <v>20</v>
      </c>
    </row>
    <row r="17" spans="1:14" ht="15" customHeight="1">
      <c r="A17" s="2">
        <v>213</v>
      </c>
      <c r="B17" s="2" t="s">
        <v>40</v>
      </c>
      <c r="C17" s="2">
        <v>-84.016999999999996</v>
      </c>
      <c r="D17" s="2">
        <v>10.433</v>
      </c>
      <c r="G17">
        <f>2.87+3.74+87.07</f>
        <v>93.679999999999993</v>
      </c>
      <c r="I17">
        <f>(4.06+0.7+0.33)</f>
        <v>5.09</v>
      </c>
      <c r="J17">
        <f>10.07+64.4</f>
        <v>74.47</v>
      </c>
      <c r="K17">
        <v>21.38</v>
      </c>
      <c r="M17" s="2" t="s">
        <v>41</v>
      </c>
      <c r="N17">
        <v>5</v>
      </c>
    </row>
    <row r="18" spans="1:14" ht="15" customHeight="1">
      <c r="A18" s="2"/>
      <c r="B18" s="2" t="s">
        <v>40</v>
      </c>
      <c r="C18" s="2">
        <v>-84.016999999999996</v>
      </c>
      <c r="D18" s="2">
        <v>10.433</v>
      </c>
      <c r="G18">
        <f>((39.55+13.79+16.26+218.57)+(35.57+4.65+10.16+80.18)) /2</f>
        <v>209.36499999999998</v>
      </c>
      <c r="I18">
        <f>((9.74+0.15+0.81+0.34+1.06)+(0.38+0.03+0.14+1.06+0.19))/2</f>
        <v>6.9500000000000011</v>
      </c>
      <c r="J18">
        <f>((7.5+65.86)+(10.46+31.95))/2</f>
        <v>57.884999999999998</v>
      </c>
      <c r="K18">
        <f>((1.31+171.47+4.37+0.5+6.31+80.77+44.37+1.85)+(0.36+3.92+0.95+30.16+15.12+1.05))/2</f>
        <v>181.25500000000002</v>
      </c>
      <c r="M18" s="2" t="s">
        <v>42</v>
      </c>
      <c r="N18">
        <v>5</v>
      </c>
    </row>
    <row r="19" spans="1:14" ht="15" customHeight="1">
      <c r="A19" s="2"/>
      <c r="B19" s="2" t="s">
        <v>40</v>
      </c>
      <c r="C19" s="2">
        <v>-84.016999999999996</v>
      </c>
      <c r="D19" s="2">
        <v>10.433</v>
      </c>
      <c r="F19">
        <v>363.65</v>
      </c>
      <c r="M19" t="s">
        <v>43</v>
      </c>
    </row>
    <row r="20" spans="1:14" ht="15" customHeight="1">
      <c r="A20" s="2">
        <v>132</v>
      </c>
      <c r="B20" s="2" t="s">
        <v>44</v>
      </c>
      <c r="C20" s="2">
        <v>-84.225999999999999</v>
      </c>
      <c r="D20" s="2">
        <v>46.368000000000002</v>
      </c>
      <c r="M20" t="s">
        <v>45</v>
      </c>
    </row>
    <row r="21" spans="1:14" ht="15" customHeight="1">
      <c r="A21" s="2">
        <v>58</v>
      </c>
      <c r="B21" s="2" t="s">
        <v>46</v>
      </c>
      <c r="C21" s="2">
        <v>-71.72</v>
      </c>
      <c r="D21" s="2">
        <v>43.94</v>
      </c>
      <c r="G21">
        <f>(422+16.1+266+119+12.5+0.2+11.9)</f>
        <v>847.7</v>
      </c>
      <c r="H21">
        <f>(571+33.9+95.6+94+7.5+9.1+8.7+0.7+0.7 +161+0.3+236)</f>
        <v>1218.5</v>
      </c>
      <c r="I21">
        <f>(18.2+8+0.4+5.6+68.9+20.3+2.7+2.1+89.2+0.4 +163+172+167+114)</f>
        <v>831.8</v>
      </c>
      <c r="J21">
        <f>449+42.9</f>
        <v>491.9</v>
      </c>
      <c r="K21">
        <f>(7.2+ 0.5+ 154+ 86.5+ 0.4+ 1+ 0.01+ 0.5+ 125+ 1.7+ 0.5+ 1.3+ 26.7+ 119+ 87.5+ 7.6+ 0.1+2.5+ 7)</f>
        <v>629.01</v>
      </c>
      <c r="L21" t="s">
        <v>17</v>
      </c>
    </row>
    <row r="22" spans="1:14" ht="15" customHeight="1">
      <c r="A22" s="2">
        <v>59</v>
      </c>
      <c r="B22" s="2" t="s">
        <v>47</v>
      </c>
      <c r="C22" s="2">
        <v>-71.69</v>
      </c>
      <c r="D22" s="2">
        <v>43.93</v>
      </c>
      <c r="G22">
        <f>(564+119+62+11.9+98.6+5.7+19.4+6.9+0.7+5.2)</f>
        <v>893.40000000000009</v>
      </c>
      <c r="H22">
        <f>(179+29.7+3.5+7.9+31.3+0.8+0.3+2.2+34.1+62.7+45.2+16.7+3.1+0.1)</f>
        <v>416.6</v>
      </c>
      <c r="I22">
        <f>(145+2.4+80.9+20.3+209+54.4+2.5)</f>
        <v>514.5</v>
      </c>
      <c r="J22">
        <f>549+18.5</f>
        <v>567.5</v>
      </c>
      <c r="K22">
        <f>(12.9+8.1+80.7+107+0.5+0.1+7.2+2.6+36+25+98.8+66.7+11.2+0.2+19.7)</f>
        <v>476.69999999999993</v>
      </c>
      <c r="L22" t="s">
        <v>17</v>
      </c>
    </row>
    <row r="23" spans="1:14" s="20" customFormat="1" ht="15" customHeight="1">
      <c r="A23" s="18">
        <v>143</v>
      </c>
      <c r="B23" s="19" t="s">
        <v>48</v>
      </c>
      <c r="C23" s="19">
        <v>-80.885999999999996</v>
      </c>
      <c r="D23" s="19">
        <v>37.646000000000001</v>
      </c>
      <c r="M23" s="21" t="s">
        <v>49</v>
      </c>
    </row>
    <row r="24" spans="1:14" s="16" customFormat="1" ht="15" customHeight="1">
      <c r="A24" s="14">
        <v>18</v>
      </c>
      <c r="B24" s="15" t="s">
        <v>50</v>
      </c>
      <c r="C24" s="15">
        <v>-83.45</v>
      </c>
      <c r="D24" s="15">
        <v>35.06</v>
      </c>
      <c r="M24" s="17" t="s">
        <v>51</v>
      </c>
    </row>
    <row r="25" spans="1:14" s="16" customFormat="1" ht="15" customHeight="1">
      <c r="A25" s="14">
        <v>19</v>
      </c>
      <c r="B25" s="15" t="s">
        <v>52</v>
      </c>
      <c r="C25" s="15">
        <v>-83.44</v>
      </c>
      <c r="D25" s="15">
        <v>35.06</v>
      </c>
      <c r="M25" s="17"/>
    </row>
    <row r="26" spans="1:14" ht="15" customHeight="1">
      <c r="A26" s="2">
        <v>192</v>
      </c>
      <c r="B26" s="2" t="s">
        <v>53</v>
      </c>
      <c r="C26" s="2">
        <v>170.32</v>
      </c>
      <c r="D26" s="2">
        <v>-44.518000000000001</v>
      </c>
      <c r="E26">
        <v>16811</v>
      </c>
      <c r="F26">
        <v>14237</v>
      </c>
      <c r="G26">
        <v>2175</v>
      </c>
      <c r="H26">
        <v>999</v>
      </c>
      <c r="I26">
        <v>5036</v>
      </c>
      <c r="K26">
        <f t="shared" ref="K26:K32" si="1">E26-F26</f>
        <v>2574</v>
      </c>
      <c r="L26" t="s">
        <v>17</v>
      </c>
      <c r="M26" t="s">
        <v>54</v>
      </c>
    </row>
    <row r="27" spans="1:14" ht="15" customHeight="1">
      <c r="A27" s="2">
        <v>105</v>
      </c>
      <c r="B27" s="2" t="s">
        <v>55</v>
      </c>
      <c r="C27" s="2">
        <v>-96.57</v>
      </c>
      <c r="D27" s="2">
        <v>39.1</v>
      </c>
      <c r="E27" s="2">
        <v>25182.400000000001</v>
      </c>
      <c r="F27" s="2">
        <v>10711.4</v>
      </c>
      <c r="G27" s="2">
        <v>5896.9</v>
      </c>
      <c r="H27" s="2">
        <v>43.1</v>
      </c>
      <c r="I27" s="2">
        <v>431.6</v>
      </c>
      <c r="K27">
        <f t="shared" si="1"/>
        <v>14471.000000000002</v>
      </c>
      <c r="L27" t="s">
        <v>17</v>
      </c>
    </row>
    <row r="28" spans="1:14" ht="15" customHeight="1">
      <c r="A28" s="2">
        <v>106</v>
      </c>
      <c r="B28" s="2" t="s">
        <v>56</v>
      </c>
      <c r="C28" s="2">
        <v>-96.57</v>
      </c>
      <c r="D28" s="2">
        <v>39.1</v>
      </c>
      <c r="E28" s="2">
        <v>26392.9</v>
      </c>
      <c r="F28" s="2">
        <v>9087.7999999999993</v>
      </c>
      <c r="G28" s="2">
        <v>4212.2</v>
      </c>
      <c r="H28" s="2">
        <v>46.9</v>
      </c>
      <c r="I28" s="2">
        <v>124.1</v>
      </c>
      <c r="K28">
        <f t="shared" si="1"/>
        <v>17305.100000000002</v>
      </c>
      <c r="L28" t="s">
        <v>17</v>
      </c>
    </row>
    <row r="29" spans="1:14" ht="15" customHeight="1">
      <c r="A29" s="2">
        <v>107</v>
      </c>
      <c r="B29" s="2" t="s">
        <v>57</v>
      </c>
      <c r="C29" s="2">
        <v>-96.57</v>
      </c>
      <c r="D29" s="2">
        <v>39.1</v>
      </c>
      <c r="E29" s="2">
        <v>17141</v>
      </c>
      <c r="F29" s="2">
        <v>8123.2</v>
      </c>
      <c r="G29" s="2">
        <v>3409</v>
      </c>
      <c r="H29" s="2">
        <v>111.4</v>
      </c>
      <c r="I29" s="2">
        <v>267.5</v>
      </c>
      <c r="K29">
        <f t="shared" si="1"/>
        <v>9017.7999999999993</v>
      </c>
      <c r="L29" t="s">
        <v>17</v>
      </c>
    </row>
    <row r="30" spans="1:14" ht="15" customHeight="1">
      <c r="A30" s="2">
        <v>108</v>
      </c>
      <c r="B30" s="2" t="s">
        <v>58</v>
      </c>
      <c r="C30" s="2">
        <v>-96.58</v>
      </c>
      <c r="D30" s="2">
        <v>39.08</v>
      </c>
      <c r="E30" s="2">
        <v>9778</v>
      </c>
      <c r="F30" s="2">
        <v>8802</v>
      </c>
      <c r="G30" s="2">
        <v>3661</v>
      </c>
      <c r="H30" s="2">
        <v>86.4</v>
      </c>
      <c r="I30" s="2">
        <v>338.5</v>
      </c>
      <c r="K30">
        <f t="shared" si="1"/>
        <v>976</v>
      </c>
      <c r="L30" t="s">
        <v>17</v>
      </c>
    </row>
    <row r="31" spans="1:14" ht="15" customHeight="1">
      <c r="A31" s="2">
        <v>109</v>
      </c>
      <c r="B31" s="2" t="s">
        <v>59</v>
      </c>
      <c r="C31" s="2">
        <v>-96.58</v>
      </c>
      <c r="D31" s="2">
        <v>39.08</v>
      </c>
      <c r="E31" s="2">
        <v>7324</v>
      </c>
      <c r="F31" s="2">
        <v>6142</v>
      </c>
      <c r="G31" s="2">
        <v>2794</v>
      </c>
      <c r="H31" s="2">
        <v>75.8</v>
      </c>
      <c r="I31" s="2">
        <v>301.7</v>
      </c>
      <c r="K31">
        <f t="shared" si="1"/>
        <v>1182</v>
      </c>
      <c r="L31" t="s">
        <v>17</v>
      </c>
    </row>
    <row r="32" spans="1:14" ht="15" customHeight="1">
      <c r="A32" s="2">
        <v>110</v>
      </c>
      <c r="B32" s="2" t="s">
        <v>60</v>
      </c>
      <c r="C32" s="2">
        <v>-96.58</v>
      </c>
      <c r="D32" s="2">
        <v>39.08</v>
      </c>
      <c r="E32" s="2">
        <v>12263</v>
      </c>
      <c r="F32" s="2">
        <v>8801.9</v>
      </c>
      <c r="G32" s="2">
        <v>5066.8999999999996</v>
      </c>
      <c r="H32" s="2">
        <v>84.2</v>
      </c>
      <c r="I32" s="2">
        <v>659.4</v>
      </c>
      <c r="K32">
        <f t="shared" si="1"/>
        <v>3461.1000000000004</v>
      </c>
      <c r="L32" t="s">
        <v>17</v>
      </c>
    </row>
    <row r="33" spans="1:16" ht="15" customHeight="1">
      <c r="A33" s="2">
        <v>46</v>
      </c>
      <c r="B33" s="2" t="s">
        <v>61</v>
      </c>
      <c r="C33" s="2">
        <v>-83.4</v>
      </c>
      <c r="D33" s="2">
        <v>35.06</v>
      </c>
      <c r="E33">
        <v>6</v>
      </c>
      <c r="L33" t="s">
        <v>62</v>
      </c>
      <c r="M33" t="s">
        <v>63</v>
      </c>
      <c r="P33" t="s">
        <v>64</v>
      </c>
    </row>
    <row r="34" spans="1:16" ht="15" customHeight="1">
      <c r="A34" s="2">
        <v>47</v>
      </c>
      <c r="B34" s="2" t="s">
        <v>65</v>
      </c>
      <c r="C34" s="2">
        <v>-83.46</v>
      </c>
      <c r="D34" s="2">
        <v>35.04</v>
      </c>
      <c r="E34">
        <v>6</v>
      </c>
      <c r="L34" t="s">
        <v>62</v>
      </c>
      <c r="M34" t="s">
        <v>63</v>
      </c>
    </row>
    <row r="35" spans="1:16" ht="15" customHeight="1">
      <c r="A35" s="2">
        <v>48</v>
      </c>
      <c r="B35" s="2" t="s">
        <v>66</v>
      </c>
      <c r="C35" s="2">
        <v>-83.4</v>
      </c>
      <c r="D35" s="2">
        <v>35.049999999999997</v>
      </c>
      <c r="E35">
        <v>5</v>
      </c>
      <c r="F35" s="2"/>
      <c r="G35" s="3"/>
      <c r="H35" s="3"/>
      <c r="I35" s="3"/>
      <c r="L35" t="s">
        <v>62</v>
      </c>
      <c r="M35" t="s">
        <v>63</v>
      </c>
    </row>
    <row r="36" spans="1:16" ht="15" customHeight="1">
      <c r="A36" s="2">
        <v>49</v>
      </c>
      <c r="B36" s="2" t="s">
        <v>67</v>
      </c>
      <c r="C36" s="2">
        <v>-83.45</v>
      </c>
      <c r="D36" s="2">
        <v>35.04</v>
      </c>
      <c r="E36">
        <v>8</v>
      </c>
      <c r="F36" s="2"/>
      <c r="G36" s="3"/>
      <c r="H36" s="3"/>
      <c r="I36" s="3"/>
      <c r="L36" t="s">
        <v>62</v>
      </c>
      <c r="M36" t="s">
        <v>63</v>
      </c>
    </row>
    <row r="37" spans="1:16" ht="15" customHeight="1">
      <c r="A37" s="2">
        <v>50</v>
      </c>
      <c r="B37" s="2" t="s">
        <v>68</v>
      </c>
      <c r="C37" s="2">
        <v>-83.4</v>
      </c>
      <c r="D37" s="2">
        <v>35.06</v>
      </c>
      <c r="E37">
        <v>13</v>
      </c>
      <c r="F37" s="2"/>
      <c r="G37" s="3"/>
      <c r="H37" s="3"/>
      <c r="I37" s="3"/>
      <c r="L37" t="s">
        <v>62</v>
      </c>
      <c r="M37" t="s">
        <v>63</v>
      </c>
    </row>
    <row r="38" spans="1:16" ht="15" customHeight="1">
      <c r="A38" s="2">
        <v>51</v>
      </c>
      <c r="B38" s="2" t="s">
        <v>69</v>
      </c>
      <c r="C38" s="2">
        <v>-83.42</v>
      </c>
      <c r="D38" s="2">
        <v>35.06</v>
      </c>
      <c r="E38">
        <v>5</v>
      </c>
      <c r="F38" s="2"/>
      <c r="G38" s="3"/>
      <c r="H38" s="3"/>
      <c r="I38" s="3"/>
      <c r="L38" t="s">
        <v>62</v>
      </c>
      <c r="M38" t="s">
        <v>63</v>
      </c>
    </row>
    <row r="39" spans="1:16" ht="15" customHeight="1">
      <c r="A39" s="2">
        <v>52</v>
      </c>
      <c r="B39" s="2" t="s">
        <v>70</v>
      </c>
      <c r="C39" s="2">
        <v>-83.39</v>
      </c>
      <c r="D39" s="2">
        <v>35.07</v>
      </c>
      <c r="E39">
        <v>21</v>
      </c>
      <c r="F39" s="2"/>
      <c r="G39" s="3"/>
      <c r="H39" s="3"/>
      <c r="I39" s="3"/>
      <c r="L39" t="s">
        <v>62</v>
      </c>
      <c r="M39" t="s">
        <v>63</v>
      </c>
    </row>
    <row r="40" spans="1:16" ht="15" customHeight="1">
      <c r="A40" s="2">
        <v>53</v>
      </c>
      <c r="B40" s="2" t="s">
        <v>71</v>
      </c>
      <c r="C40" s="2">
        <v>-83.38</v>
      </c>
      <c r="D40" s="2">
        <v>35.08</v>
      </c>
      <c r="E40">
        <v>7</v>
      </c>
      <c r="F40" s="2"/>
      <c r="G40" s="3"/>
      <c r="H40" s="3"/>
      <c r="I40" s="3"/>
      <c r="L40" t="s">
        <v>62</v>
      </c>
      <c r="M40" t="s">
        <v>63</v>
      </c>
    </row>
    <row r="41" spans="1:16" ht="15" customHeight="1">
      <c r="A41" s="2">
        <v>54</v>
      </c>
      <c r="B41" s="2" t="s">
        <v>72</v>
      </c>
      <c r="C41" s="2">
        <v>-83.38</v>
      </c>
      <c r="D41" s="2">
        <v>35.090000000000003</v>
      </c>
      <c r="E41">
        <v>22</v>
      </c>
      <c r="F41" s="2"/>
      <c r="G41" s="3"/>
      <c r="H41" s="3"/>
      <c r="I41" s="3"/>
      <c r="L41" t="s">
        <v>62</v>
      </c>
      <c r="M41" t="s">
        <v>63</v>
      </c>
    </row>
    <row r="42" spans="1:16" ht="15" customHeight="1">
      <c r="A42" s="2">
        <v>55</v>
      </c>
      <c r="B42" s="2" t="s">
        <v>73</v>
      </c>
      <c r="C42" s="2">
        <v>-83.39</v>
      </c>
      <c r="D42" s="2">
        <v>35.229999999999997</v>
      </c>
      <c r="E42">
        <v>154</v>
      </c>
      <c r="F42" s="2"/>
      <c r="G42" s="3"/>
      <c r="H42" s="3"/>
      <c r="I42" s="3"/>
      <c r="L42" t="s">
        <v>62</v>
      </c>
      <c r="M42" t="s">
        <v>63</v>
      </c>
    </row>
    <row r="43" spans="1:16" ht="15" customHeight="1">
      <c r="A43" s="2">
        <v>56</v>
      </c>
      <c r="B43" s="2" t="s">
        <v>74</v>
      </c>
      <c r="C43" s="2">
        <v>-83.52</v>
      </c>
      <c r="D43" s="2">
        <v>35.33</v>
      </c>
      <c r="E43">
        <v>121</v>
      </c>
      <c r="F43" s="2"/>
      <c r="G43" s="2"/>
      <c r="H43" s="2"/>
      <c r="I43" s="2"/>
      <c r="L43" t="s">
        <v>62</v>
      </c>
      <c r="M43" t="s">
        <v>63</v>
      </c>
    </row>
    <row r="44" spans="1:16" ht="15" customHeight="1">
      <c r="A44" s="2">
        <v>197</v>
      </c>
      <c r="B44" s="2" t="s">
        <v>75</v>
      </c>
      <c r="C44" s="2">
        <v>9.3330000000000002</v>
      </c>
      <c r="D44" s="2">
        <v>56.366999999999997</v>
      </c>
      <c r="E44">
        <v>6.4</v>
      </c>
      <c r="F44" s="2">
        <v>4.5999999999999996</v>
      </c>
      <c r="G44" s="2">
        <v>0.1</v>
      </c>
      <c r="H44" s="2">
        <v>0.2</v>
      </c>
      <c r="I44" s="2">
        <v>2.2000000000000002</v>
      </c>
      <c r="J44">
        <v>0.6</v>
      </c>
      <c r="K44">
        <v>1.4</v>
      </c>
      <c r="L44" t="s">
        <v>76</v>
      </c>
      <c r="M44" s="2" t="s">
        <v>77</v>
      </c>
      <c r="P44" t="s">
        <v>78</v>
      </c>
    </row>
    <row r="45" spans="1:16" ht="15" customHeight="1">
      <c r="A45" s="2">
        <v>155</v>
      </c>
      <c r="B45" s="2" t="s">
        <v>79</v>
      </c>
      <c r="C45" s="2">
        <v>0.05</v>
      </c>
      <c r="D45" s="2">
        <v>51.082999999999998</v>
      </c>
      <c r="E45">
        <v>4.5999999999999996</v>
      </c>
      <c r="F45">
        <v>3.6</v>
      </c>
      <c r="G45" s="2">
        <v>1E-3</v>
      </c>
      <c r="H45" s="2">
        <v>0.89500000000000002</v>
      </c>
      <c r="I45" s="2">
        <v>0.77</v>
      </c>
      <c r="J45" s="2">
        <v>1.4350000000000001</v>
      </c>
      <c r="K45">
        <v>0.51200000000000001</v>
      </c>
      <c r="L45" t="s">
        <v>80</v>
      </c>
      <c r="M45" s="2"/>
      <c r="P45" t="s">
        <v>81</v>
      </c>
    </row>
    <row r="46" spans="1:16" ht="15" customHeight="1">
      <c r="A46" s="2">
        <v>111</v>
      </c>
      <c r="B46" s="2" t="s">
        <v>82</v>
      </c>
      <c r="C46" s="2">
        <v>-85.98</v>
      </c>
      <c r="D46" s="2">
        <v>34.79</v>
      </c>
      <c r="E46">
        <v>0.15</v>
      </c>
      <c r="F46" s="2"/>
      <c r="G46" s="2"/>
      <c r="H46" s="2"/>
      <c r="I46" s="2"/>
      <c r="L46" t="s">
        <v>62</v>
      </c>
      <c r="M46" s="2" t="s">
        <v>83</v>
      </c>
      <c r="P46" t="s">
        <v>84</v>
      </c>
    </row>
    <row r="47" spans="1:16" ht="15" customHeight="1">
      <c r="A47" s="2">
        <v>112</v>
      </c>
      <c r="B47" s="2" t="s">
        <v>85</v>
      </c>
      <c r="C47" s="2">
        <v>-85.98</v>
      </c>
      <c r="D47" s="2">
        <v>34.79</v>
      </c>
      <c r="E47">
        <v>0.27</v>
      </c>
      <c r="F47" s="2"/>
      <c r="G47" s="2"/>
      <c r="H47" s="2"/>
      <c r="I47" s="2"/>
      <c r="L47" t="s">
        <v>62</v>
      </c>
      <c r="M47" s="2" t="s">
        <v>83</v>
      </c>
      <c r="P47" t="s">
        <v>84</v>
      </c>
    </row>
    <row r="48" spans="1:16" ht="15" customHeight="1">
      <c r="A48" s="2">
        <v>113</v>
      </c>
      <c r="B48" s="2" t="s">
        <v>86</v>
      </c>
      <c r="C48" s="2">
        <v>-85.98</v>
      </c>
      <c r="D48" s="2">
        <v>34.79</v>
      </c>
      <c r="E48">
        <v>1.8</v>
      </c>
      <c r="F48" s="2"/>
      <c r="G48" s="2"/>
      <c r="H48" s="2"/>
      <c r="I48" s="2"/>
      <c r="L48" t="s">
        <v>62</v>
      </c>
      <c r="M48" s="2" t="s">
        <v>83</v>
      </c>
      <c r="P48" t="s">
        <v>84</v>
      </c>
    </row>
    <row r="49" spans="1:16" ht="15" customHeight="1">
      <c r="A49" s="2">
        <v>79</v>
      </c>
      <c r="B49" s="2" t="s">
        <v>87</v>
      </c>
      <c r="C49" s="2">
        <v>-105.63</v>
      </c>
      <c r="D49" s="2">
        <v>40.229999999999997</v>
      </c>
      <c r="E49" s="2">
        <v>5780</v>
      </c>
      <c r="F49" s="2"/>
      <c r="G49" s="2">
        <v>1810</v>
      </c>
      <c r="H49" s="2">
        <v>407</v>
      </c>
      <c r="I49" s="2">
        <v>711</v>
      </c>
      <c r="J49" s="2">
        <v>1736</v>
      </c>
      <c r="K49" s="2">
        <v>104</v>
      </c>
      <c r="L49" s="2" t="s">
        <v>20</v>
      </c>
      <c r="M49" s="2" t="s">
        <v>88</v>
      </c>
      <c r="N49" s="2"/>
      <c r="O49" s="2"/>
      <c r="P49" s="2" t="s">
        <v>89</v>
      </c>
    </row>
    <row r="50" spans="1:16" ht="15" customHeight="1">
      <c r="A50" s="2">
        <v>79</v>
      </c>
      <c r="B50" s="2" t="s">
        <v>90</v>
      </c>
      <c r="C50" s="2">
        <v>-105.63</v>
      </c>
      <c r="D50" s="2">
        <v>40.229999999999997</v>
      </c>
      <c r="E50" s="2">
        <v>4710</v>
      </c>
      <c r="F50" s="2"/>
      <c r="G50" s="2">
        <v>1353</v>
      </c>
      <c r="H50" s="2">
        <v>545</v>
      </c>
      <c r="I50" s="2">
        <v>86</v>
      </c>
      <c r="J50" s="2">
        <v>1056</v>
      </c>
      <c r="K50" s="2">
        <v>253</v>
      </c>
      <c r="L50" s="2" t="s">
        <v>20</v>
      </c>
      <c r="M50" s="2" t="s">
        <v>91</v>
      </c>
      <c r="N50" s="2"/>
      <c r="O50" s="2"/>
      <c r="P50" s="2" t="s">
        <v>89</v>
      </c>
    </row>
    <row r="51" spans="1:16" ht="15" customHeight="1">
      <c r="A51" s="2">
        <v>80</v>
      </c>
      <c r="B51" s="2" t="s">
        <v>92</v>
      </c>
      <c r="C51" s="2">
        <v>-105.44</v>
      </c>
      <c r="D51" s="2">
        <v>40.21</v>
      </c>
      <c r="E51" s="2">
        <v>1210</v>
      </c>
      <c r="F51" s="2"/>
      <c r="G51" s="2">
        <v>2980</v>
      </c>
      <c r="H51" s="2">
        <v>592</v>
      </c>
      <c r="I51" s="2">
        <v>5297</v>
      </c>
      <c r="J51" s="2">
        <v>1358</v>
      </c>
      <c r="K51" s="2">
        <v>602</v>
      </c>
      <c r="L51" s="2" t="s">
        <v>20</v>
      </c>
      <c r="M51" s="2" t="s">
        <v>88</v>
      </c>
      <c r="P51" s="2" t="s">
        <v>89</v>
      </c>
    </row>
    <row r="52" spans="1:16" ht="15" customHeight="1">
      <c r="A52" s="2">
        <v>80</v>
      </c>
      <c r="B52" s="2" t="s">
        <v>93</v>
      </c>
      <c r="C52" s="2">
        <v>-105.44</v>
      </c>
      <c r="D52" s="2">
        <v>40.21</v>
      </c>
      <c r="E52" s="2">
        <v>1010</v>
      </c>
      <c r="F52" s="2"/>
      <c r="G52" s="2">
        <v>3759</v>
      </c>
      <c r="H52" s="2">
        <v>1263</v>
      </c>
      <c r="I52" s="2">
        <v>1978</v>
      </c>
      <c r="J52" s="2">
        <v>817</v>
      </c>
      <c r="K52" s="2">
        <v>1187</v>
      </c>
      <c r="L52" s="2" t="s">
        <v>20</v>
      </c>
      <c r="M52" s="2" t="s">
        <v>91</v>
      </c>
      <c r="P52" s="2" t="s">
        <v>89</v>
      </c>
    </row>
    <row r="53" spans="1:16" ht="15" customHeight="1">
      <c r="A53" s="2">
        <v>81</v>
      </c>
      <c r="B53" s="2" t="s">
        <v>94</v>
      </c>
      <c r="C53" s="2">
        <v>-105.52</v>
      </c>
      <c r="D53" s="2">
        <v>40.21</v>
      </c>
      <c r="E53" s="2">
        <v>8110</v>
      </c>
      <c r="F53" s="2"/>
      <c r="G53" s="2">
        <v>2859</v>
      </c>
      <c r="H53" s="2">
        <v>547</v>
      </c>
      <c r="I53" s="2">
        <v>1832</v>
      </c>
      <c r="J53" s="2">
        <v>941</v>
      </c>
      <c r="K53" s="2">
        <v>947</v>
      </c>
      <c r="L53" s="2" t="s">
        <v>20</v>
      </c>
      <c r="M53" s="2" t="s">
        <v>88</v>
      </c>
      <c r="P53" s="2" t="s">
        <v>89</v>
      </c>
    </row>
    <row r="54" spans="1:16" ht="15" customHeight="1">
      <c r="A54" s="2">
        <v>81</v>
      </c>
      <c r="B54" s="2" t="s">
        <v>95</v>
      </c>
      <c r="C54" s="2">
        <v>-105.52</v>
      </c>
      <c r="D54" s="2">
        <v>40.21</v>
      </c>
      <c r="E54" s="2">
        <v>6340</v>
      </c>
      <c r="F54" s="2"/>
      <c r="G54" s="2">
        <v>2378</v>
      </c>
      <c r="H54" s="2">
        <v>689</v>
      </c>
      <c r="I54" s="2">
        <v>628</v>
      </c>
      <c r="J54" s="2">
        <v>838</v>
      </c>
      <c r="K54" s="2">
        <v>651</v>
      </c>
      <c r="L54" s="2" t="s">
        <v>20</v>
      </c>
      <c r="M54" s="2" t="s">
        <v>91</v>
      </c>
      <c r="P54" s="2" t="s">
        <v>89</v>
      </c>
    </row>
    <row r="55" spans="1:16" ht="15" customHeight="1">
      <c r="A55" s="2">
        <v>82</v>
      </c>
      <c r="B55" s="2" t="s">
        <v>96</v>
      </c>
      <c r="C55" s="2">
        <v>-105.63</v>
      </c>
      <c r="D55" s="2">
        <v>40.21</v>
      </c>
      <c r="E55" s="2">
        <v>4710</v>
      </c>
      <c r="F55" s="2"/>
      <c r="G55" s="2">
        <v>729</v>
      </c>
      <c r="H55" s="2">
        <v>749</v>
      </c>
      <c r="I55" s="2">
        <v>255</v>
      </c>
      <c r="J55" s="2">
        <v>1421</v>
      </c>
      <c r="K55" s="2">
        <v>894</v>
      </c>
      <c r="L55" s="2" t="s">
        <v>20</v>
      </c>
      <c r="M55" s="2" t="s">
        <v>88</v>
      </c>
      <c r="P55" s="2" t="s">
        <v>89</v>
      </c>
    </row>
    <row r="56" spans="1:16" ht="15" customHeight="1">
      <c r="A56" s="2">
        <v>82</v>
      </c>
      <c r="B56" s="2" t="s">
        <v>97</v>
      </c>
      <c r="C56" s="2">
        <v>-105.63</v>
      </c>
      <c r="D56" s="2">
        <v>40.21</v>
      </c>
      <c r="E56" s="2">
        <v>3330</v>
      </c>
      <c r="F56" s="2"/>
      <c r="G56" s="2">
        <v>666</v>
      </c>
      <c r="H56" s="2">
        <v>507</v>
      </c>
      <c r="I56" s="2">
        <v>249</v>
      </c>
      <c r="J56" s="2">
        <v>1090</v>
      </c>
      <c r="K56" s="2">
        <v>450</v>
      </c>
      <c r="L56" s="2" t="s">
        <v>20</v>
      </c>
      <c r="M56" s="2" t="s">
        <v>91</v>
      </c>
      <c r="P56" s="2" t="s">
        <v>89</v>
      </c>
    </row>
    <row r="57" spans="1:16" ht="15" customHeight="1">
      <c r="A57" s="2">
        <v>28</v>
      </c>
      <c r="B57" s="2" t="s">
        <v>98</v>
      </c>
      <c r="C57" s="2">
        <v>-88.9</v>
      </c>
      <c r="D57" s="2">
        <v>46.47</v>
      </c>
      <c r="E57">
        <v>0.9</v>
      </c>
      <c r="L57" t="s">
        <v>62</v>
      </c>
      <c r="M57" s="2" t="s">
        <v>99</v>
      </c>
      <c r="N57">
        <v>2.4</v>
      </c>
      <c r="P57" t="s">
        <v>100</v>
      </c>
    </row>
    <row r="58" spans="1:16" ht="15" customHeight="1">
      <c r="A58" s="2">
        <v>28</v>
      </c>
      <c r="B58" s="2" t="s">
        <v>101</v>
      </c>
      <c r="C58" s="2">
        <v>-88.9</v>
      </c>
      <c r="D58" s="2">
        <v>46.47</v>
      </c>
      <c r="E58">
        <v>1.5</v>
      </c>
      <c r="L58" t="s">
        <v>62</v>
      </c>
      <c r="N58">
        <v>2.5</v>
      </c>
      <c r="P58" t="s">
        <v>100</v>
      </c>
    </row>
    <row r="59" spans="1:16" ht="15" customHeight="1">
      <c r="A59" s="2">
        <v>28</v>
      </c>
      <c r="B59" s="2" t="s">
        <v>102</v>
      </c>
      <c r="C59" s="2">
        <v>-88.9</v>
      </c>
      <c r="D59" s="2">
        <v>46.47</v>
      </c>
      <c r="E59">
        <v>1.1000000000000001</v>
      </c>
      <c r="L59" t="s">
        <v>62</v>
      </c>
      <c r="N59">
        <v>2.5</v>
      </c>
      <c r="P59" t="s">
        <v>100</v>
      </c>
    </row>
    <row r="60" spans="1:16" ht="15" customHeight="1">
      <c r="A60" s="2">
        <v>30</v>
      </c>
      <c r="B60" s="2" t="s">
        <v>103</v>
      </c>
      <c r="C60" s="2">
        <v>-88.9</v>
      </c>
      <c r="D60" s="2">
        <v>46.42</v>
      </c>
      <c r="E60">
        <v>3.1</v>
      </c>
      <c r="L60" t="s">
        <v>62</v>
      </c>
      <c r="M60" s="2" t="s">
        <v>99</v>
      </c>
      <c r="N60">
        <v>2.1</v>
      </c>
      <c r="P60" t="s">
        <v>100</v>
      </c>
    </row>
    <row r="61" spans="1:16" ht="15" customHeight="1">
      <c r="A61" s="2">
        <v>30</v>
      </c>
      <c r="B61" s="2" t="s">
        <v>104</v>
      </c>
      <c r="C61" s="2">
        <v>-88.9</v>
      </c>
      <c r="D61" s="2">
        <v>46.42</v>
      </c>
      <c r="E61">
        <v>1.6</v>
      </c>
      <c r="L61" t="s">
        <v>62</v>
      </c>
      <c r="N61">
        <v>2.2999999999999998</v>
      </c>
      <c r="P61" t="s">
        <v>100</v>
      </c>
    </row>
    <row r="62" spans="1:16" ht="15" customHeight="1">
      <c r="A62" s="2">
        <v>30</v>
      </c>
      <c r="B62" s="2" t="s">
        <v>105</v>
      </c>
      <c r="C62" s="2">
        <v>-88.9</v>
      </c>
      <c r="D62" s="2">
        <v>46.42</v>
      </c>
      <c r="E62">
        <v>2.7</v>
      </c>
      <c r="L62" t="s">
        <v>62</v>
      </c>
      <c r="N62">
        <v>2.2999999999999998</v>
      </c>
      <c r="P62" t="s">
        <v>100</v>
      </c>
    </row>
    <row r="63" spans="1:16" ht="15" customHeight="1">
      <c r="A63" s="2">
        <v>32</v>
      </c>
      <c r="B63" s="2" t="s">
        <v>106</v>
      </c>
      <c r="C63" s="2">
        <v>-88.9</v>
      </c>
      <c r="D63" s="2">
        <v>46.44</v>
      </c>
      <c r="E63">
        <v>1.1000000000000001</v>
      </c>
      <c r="L63" t="s">
        <v>62</v>
      </c>
      <c r="M63" s="2" t="s">
        <v>99</v>
      </c>
      <c r="N63">
        <v>1.8</v>
      </c>
      <c r="P63" t="s">
        <v>100</v>
      </c>
    </row>
    <row r="64" spans="1:16" ht="15" customHeight="1">
      <c r="A64" s="2">
        <v>32</v>
      </c>
      <c r="B64" s="2" t="s">
        <v>107</v>
      </c>
      <c r="C64" s="2">
        <v>-88.9</v>
      </c>
      <c r="D64" s="2">
        <v>46.44</v>
      </c>
      <c r="E64">
        <v>1.3</v>
      </c>
      <c r="L64" t="s">
        <v>62</v>
      </c>
      <c r="N64">
        <v>2.4</v>
      </c>
      <c r="P64" t="s">
        <v>100</v>
      </c>
    </row>
    <row r="65" spans="1:16" ht="15" customHeight="1">
      <c r="A65" s="2">
        <v>32</v>
      </c>
      <c r="B65" s="2" t="s">
        <v>108</v>
      </c>
      <c r="C65" s="2">
        <v>-88.9</v>
      </c>
      <c r="D65" s="2">
        <v>46.44</v>
      </c>
      <c r="E65">
        <v>0.9</v>
      </c>
      <c r="L65" t="s">
        <v>62</v>
      </c>
      <c r="N65">
        <v>2.4</v>
      </c>
      <c r="P65" t="s">
        <v>100</v>
      </c>
    </row>
    <row r="66" spans="1:16" ht="15" customHeight="1">
      <c r="A66" s="2">
        <v>9</v>
      </c>
      <c r="B66" s="2" t="s">
        <v>109</v>
      </c>
      <c r="C66" s="2">
        <v>-68.13</v>
      </c>
      <c r="D66" s="2">
        <v>44.89</v>
      </c>
      <c r="E66">
        <v>1682</v>
      </c>
      <c r="F66">
        <v>1628.4</v>
      </c>
      <c r="G66">
        <v>0.22</v>
      </c>
      <c r="H66">
        <v>515.4</v>
      </c>
      <c r="I66">
        <v>488.7</v>
      </c>
      <c r="J66">
        <v>243.37</v>
      </c>
      <c r="L66" s="12" t="s">
        <v>17</v>
      </c>
      <c r="P66" t="s">
        <v>110</v>
      </c>
    </row>
    <row r="67" spans="1:16" ht="15" customHeight="1">
      <c r="A67" s="2">
        <v>10</v>
      </c>
      <c r="B67" s="2" t="s">
        <v>111</v>
      </c>
      <c r="C67" s="2">
        <v>-68.13</v>
      </c>
      <c r="D67" s="2">
        <v>44.89</v>
      </c>
      <c r="E67">
        <v>2271</v>
      </c>
      <c r="F67">
        <v>2156.4</v>
      </c>
      <c r="G67">
        <v>1.42</v>
      </c>
      <c r="H67">
        <v>672.6</v>
      </c>
      <c r="I67">
        <v>624.4</v>
      </c>
      <c r="J67">
        <v>236.53000000000003</v>
      </c>
      <c r="L67" s="12" t="s">
        <v>17</v>
      </c>
      <c r="P67" t="s">
        <v>110</v>
      </c>
    </row>
    <row r="68" spans="1:16" ht="15" customHeight="1">
      <c r="A68" s="2">
        <v>11</v>
      </c>
      <c r="B68" s="2" t="s">
        <v>112</v>
      </c>
      <c r="C68" s="2">
        <v>-68.14</v>
      </c>
      <c r="D68" s="2">
        <v>44.88</v>
      </c>
      <c r="E68">
        <v>1654</v>
      </c>
      <c r="F68">
        <v>1573.9</v>
      </c>
      <c r="G68">
        <v>0</v>
      </c>
      <c r="H68">
        <v>564.29999999999995</v>
      </c>
      <c r="I68">
        <v>766.2</v>
      </c>
      <c r="J68">
        <v>241.37</v>
      </c>
      <c r="L68" s="12" t="s">
        <v>17</v>
      </c>
      <c r="P68" t="s">
        <v>110</v>
      </c>
    </row>
    <row r="69" spans="1:16" ht="15" customHeight="1">
      <c r="A69" s="2">
        <v>12</v>
      </c>
      <c r="B69" s="2" t="s">
        <v>113</v>
      </c>
      <c r="C69" s="2">
        <v>-68.14</v>
      </c>
      <c r="D69" s="2">
        <v>44.88</v>
      </c>
      <c r="E69">
        <v>2283</v>
      </c>
      <c r="F69">
        <v>2120.6999999999998</v>
      </c>
      <c r="G69">
        <v>0.11</v>
      </c>
      <c r="H69">
        <v>705</v>
      </c>
      <c r="I69">
        <v>604.4</v>
      </c>
      <c r="J69">
        <v>222.15999999999997</v>
      </c>
      <c r="L69" s="12" t="s">
        <v>17</v>
      </c>
      <c r="P69" t="s">
        <v>110</v>
      </c>
    </row>
    <row r="70" spans="1:16" ht="15" customHeight="1">
      <c r="A70" s="2">
        <v>131</v>
      </c>
      <c r="B70" s="2" t="s">
        <v>114</v>
      </c>
      <c r="C70" s="2">
        <v>-68.12</v>
      </c>
      <c r="D70" s="2">
        <v>44.88</v>
      </c>
      <c r="E70">
        <v>1.68</v>
      </c>
      <c r="L70" s="12" t="s">
        <v>62</v>
      </c>
      <c r="M70" t="s">
        <v>115</v>
      </c>
      <c r="P70" t="s">
        <v>116</v>
      </c>
    </row>
    <row r="71" spans="1:16" ht="15" customHeight="1">
      <c r="A71" s="2">
        <v>13</v>
      </c>
      <c r="B71" s="2" t="s">
        <v>117</v>
      </c>
      <c r="C71" s="2">
        <v>-68.12</v>
      </c>
      <c r="D71" s="2">
        <v>44.88</v>
      </c>
      <c r="E71">
        <v>2</v>
      </c>
      <c r="L71" s="12" t="s">
        <v>62</v>
      </c>
      <c r="M71" t="s">
        <v>115</v>
      </c>
      <c r="P71" t="s">
        <v>116</v>
      </c>
    </row>
    <row r="72" spans="1:16" ht="15" customHeight="1">
      <c r="A72" s="2">
        <v>14</v>
      </c>
      <c r="B72" s="2" t="s">
        <v>118</v>
      </c>
      <c r="C72" s="2">
        <v>-68.12</v>
      </c>
      <c r="D72" s="2">
        <v>44.88</v>
      </c>
      <c r="E72">
        <v>2.19</v>
      </c>
      <c r="L72" s="12" t="s">
        <v>62</v>
      </c>
      <c r="M72" t="s">
        <v>115</v>
      </c>
      <c r="P72" t="s">
        <v>116</v>
      </c>
    </row>
    <row r="73" spans="1:16" ht="15" customHeight="1">
      <c r="A73" s="2">
        <v>15</v>
      </c>
      <c r="B73" s="2" t="s">
        <v>119</v>
      </c>
      <c r="C73" s="2">
        <v>-68.099999999999994</v>
      </c>
      <c r="D73" s="2">
        <v>44.88</v>
      </c>
      <c r="E73">
        <v>2.89</v>
      </c>
      <c r="L73" s="12" t="s">
        <v>62</v>
      </c>
      <c r="M73" t="s">
        <v>115</v>
      </c>
      <c r="P73" t="s">
        <v>116</v>
      </c>
    </row>
    <row r="74" spans="1:16" ht="15" customHeight="1">
      <c r="A74" s="2">
        <v>16</v>
      </c>
      <c r="B74" s="2" t="s">
        <v>120</v>
      </c>
      <c r="C74" s="2">
        <v>-68.12</v>
      </c>
      <c r="D74" s="2">
        <v>44.88</v>
      </c>
      <c r="E74">
        <v>2.09</v>
      </c>
      <c r="L74" s="12" t="s">
        <v>62</v>
      </c>
      <c r="M74" t="s">
        <v>115</v>
      </c>
      <c r="P74" t="s">
        <v>116</v>
      </c>
    </row>
    <row r="75" spans="1:16" ht="15" customHeight="1">
      <c r="A75" s="2">
        <v>17</v>
      </c>
      <c r="B75" s="2" t="s">
        <v>121</v>
      </c>
      <c r="C75" s="2">
        <v>-68.14</v>
      </c>
      <c r="D75" s="2">
        <v>44.88</v>
      </c>
      <c r="E75">
        <v>1.65</v>
      </c>
      <c r="L75" s="12" t="s">
        <v>62</v>
      </c>
      <c r="M75" t="s">
        <v>115</v>
      </c>
      <c r="P75" t="s">
        <v>116</v>
      </c>
    </row>
    <row r="76" spans="1:16" ht="15" customHeight="1">
      <c r="A76" s="2">
        <v>41</v>
      </c>
      <c r="B76" s="2" t="s">
        <v>122</v>
      </c>
      <c r="C76" s="2">
        <v>-83.43</v>
      </c>
      <c r="D76" s="2">
        <v>35.06</v>
      </c>
      <c r="L76" s="12"/>
      <c r="M76" t="s">
        <v>123</v>
      </c>
      <c r="N76">
        <v>5.5</v>
      </c>
    </row>
    <row r="77" spans="1:16" ht="15" customHeight="1">
      <c r="A77" s="2">
        <v>75</v>
      </c>
      <c r="B77" s="2" t="s">
        <v>124</v>
      </c>
      <c r="C77" s="2">
        <v>-112.25</v>
      </c>
      <c r="D77" s="2">
        <v>44.76</v>
      </c>
      <c r="E77">
        <v>7598</v>
      </c>
      <c r="F77">
        <v>7598</v>
      </c>
      <c r="G77">
        <v>2824</v>
      </c>
      <c r="H77">
        <v>838</v>
      </c>
      <c r="I77">
        <v>322</v>
      </c>
      <c r="J77">
        <v>455</v>
      </c>
      <c r="K77">
        <v>3135</v>
      </c>
      <c r="L77" s="12" t="s">
        <v>17</v>
      </c>
      <c r="M77" t="s">
        <v>125</v>
      </c>
      <c r="N77">
        <v>3.5</v>
      </c>
      <c r="P77" t="s">
        <v>78</v>
      </c>
    </row>
    <row r="78" spans="1:16" ht="15" customHeight="1">
      <c r="A78" s="2">
        <v>35</v>
      </c>
      <c r="B78" s="2" t="s">
        <v>126</v>
      </c>
      <c r="C78" s="2">
        <v>-111.5</v>
      </c>
      <c r="D78" s="2">
        <v>33.75</v>
      </c>
      <c r="M78" t="s">
        <v>127</v>
      </c>
    </row>
    <row r="79" spans="1:16" ht="15" customHeight="1">
      <c r="A79" s="4">
        <v>186</v>
      </c>
      <c r="B79" s="5" t="s">
        <v>128</v>
      </c>
      <c r="C79" s="2">
        <v>174.9</v>
      </c>
      <c r="D79" s="2">
        <v>-41.1</v>
      </c>
      <c r="E79" s="5">
        <v>11.93</v>
      </c>
      <c r="F79" s="5"/>
      <c r="G79" s="5"/>
      <c r="H79" s="5"/>
      <c r="I79" s="5"/>
      <c r="J79" s="5"/>
      <c r="K79" s="5"/>
      <c r="L79" s="5" t="s">
        <v>80</v>
      </c>
      <c r="M79" s="5" t="s">
        <v>129</v>
      </c>
      <c r="N79" s="6"/>
    </row>
    <row r="80" spans="1:16" ht="15" customHeight="1">
      <c r="A80" s="4">
        <v>187</v>
      </c>
      <c r="B80" s="5" t="s">
        <v>130</v>
      </c>
      <c r="C80" s="2">
        <v>174.9</v>
      </c>
      <c r="D80" s="2">
        <v>-41.1</v>
      </c>
      <c r="E80" s="5">
        <v>5.49</v>
      </c>
      <c r="F80" s="5"/>
      <c r="G80" s="5"/>
      <c r="H80" s="5"/>
      <c r="I80" s="5"/>
      <c r="J80" s="5"/>
      <c r="K80" s="5"/>
      <c r="L80" s="5" t="s">
        <v>80</v>
      </c>
      <c r="M80" s="5" t="s">
        <v>129</v>
      </c>
      <c r="N80" s="6"/>
    </row>
    <row r="81" spans="1:14" ht="15" customHeight="1">
      <c r="A81" s="4">
        <v>188</v>
      </c>
      <c r="B81" s="5" t="s">
        <v>131</v>
      </c>
      <c r="C81" s="2">
        <v>174.9</v>
      </c>
      <c r="D81" s="2">
        <v>-41.1</v>
      </c>
      <c r="E81" s="5">
        <v>10.27</v>
      </c>
      <c r="F81" s="5"/>
      <c r="G81" s="5"/>
      <c r="H81" s="5"/>
      <c r="I81" s="5"/>
      <c r="J81" s="5"/>
      <c r="K81" s="5"/>
      <c r="L81" s="5" t="s">
        <v>80</v>
      </c>
      <c r="M81" s="5" t="s">
        <v>129</v>
      </c>
      <c r="N81" s="6"/>
    </row>
    <row r="82" spans="1:14" ht="15" customHeight="1">
      <c r="A82" s="4">
        <v>189</v>
      </c>
      <c r="B82" s="5" t="s">
        <v>132</v>
      </c>
      <c r="C82" s="2">
        <v>175.483</v>
      </c>
      <c r="D82" s="2">
        <v>-40.966999999999999</v>
      </c>
      <c r="E82" s="5">
        <v>1.64</v>
      </c>
      <c r="F82" s="5"/>
      <c r="G82" s="5"/>
      <c r="H82" s="5"/>
      <c r="I82" s="5"/>
      <c r="J82" s="5"/>
      <c r="K82" s="5"/>
      <c r="L82" s="5" t="s">
        <v>80</v>
      </c>
      <c r="M82" s="5" t="s">
        <v>129</v>
      </c>
      <c r="N82" s="6"/>
    </row>
    <row r="83" spans="1:14" ht="15" customHeight="1">
      <c r="A83" s="4">
        <v>190</v>
      </c>
      <c r="B83" s="5" t="s">
        <v>133</v>
      </c>
      <c r="C83" s="2">
        <v>175.483</v>
      </c>
      <c r="D83" s="2">
        <v>-40.966999999999999</v>
      </c>
      <c r="E83" s="5">
        <v>0.84</v>
      </c>
      <c r="F83" s="5"/>
      <c r="G83" s="5"/>
      <c r="H83" s="5"/>
      <c r="I83" s="5"/>
      <c r="J83" s="5"/>
      <c r="K83" s="5"/>
      <c r="L83" s="5" t="s">
        <v>80</v>
      </c>
      <c r="M83" s="5" t="s">
        <v>129</v>
      </c>
      <c r="N83" s="6"/>
    </row>
    <row r="84" spans="1:14" ht="15" customHeight="1">
      <c r="A84" s="4">
        <v>191</v>
      </c>
      <c r="B84" s="5" t="s">
        <v>134</v>
      </c>
      <c r="C84" s="2">
        <v>175.483</v>
      </c>
      <c r="D84" s="2">
        <v>-40.966999999999999</v>
      </c>
      <c r="E84" s="5">
        <v>1.61</v>
      </c>
      <c r="F84" s="5"/>
      <c r="G84" s="5"/>
      <c r="H84" s="5"/>
      <c r="I84" s="5"/>
      <c r="J84" s="5"/>
      <c r="K84" s="5"/>
      <c r="L84" s="5" t="s">
        <v>80</v>
      </c>
      <c r="M84" s="5" t="s">
        <v>129</v>
      </c>
      <c r="N84" s="6"/>
    </row>
    <row r="85" spans="1:14" ht="15" customHeight="1">
      <c r="A85" s="4">
        <v>61</v>
      </c>
      <c r="B85" s="5" t="s">
        <v>135</v>
      </c>
      <c r="C85" s="2">
        <v>-81.099999999999994</v>
      </c>
      <c r="D85" s="2">
        <v>38.29</v>
      </c>
      <c r="E85" s="5">
        <v>18.600000000000001</v>
      </c>
      <c r="F85" s="5">
        <v>18.600000000000001</v>
      </c>
      <c r="G85" s="5">
        <v>2.2000000000000002</v>
      </c>
      <c r="H85" s="5">
        <v>8.6999999999999993</v>
      </c>
      <c r="I85" s="5"/>
      <c r="J85" s="5">
        <v>7.7</v>
      </c>
      <c r="K85" s="5"/>
      <c r="L85" s="5" t="s">
        <v>62</v>
      </c>
      <c r="M85" s="5" t="s">
        <v>136</v>
      </c>
      <c r="N85" s="6"/>
    </row>
    <row r="86" spans="1:14" ht="15" customHeight="1">
      <c r="A86" s="4">
        <v>62</v>
      </c>
      <c r="B86" s="5" t="s">
        <v>137</v>
      </c>
      <c r="C86" s="2">
        <v>-81.19</v>
      </c>
      <c r="D86" s="2">
        <v>38.229999999999997</v>
      </c>
      <c r="E86" s="5">
        <v>66.099999999999994</v>
      </c>
      <c r="F86" s="5">
        <v>66.099999999999994</v>
      </c>
      <c r="G86" s="5"/>
      <c r="H86" s="5">
        <v>7</v>
      </c>
      <c r="I86" s="5"/>
      <c r="J86" s="5">
        <v>59.1</v>
      </c>
      <c r="K86" s="5"/>
      <c r="L86" s="5" t="s">
        <v>62</v>
      </c>
      <c r="M86" s="5" t="s">
        <v>136</v>
      </c>
      <c r="N86" s="6"/>
    </row>
    <row r="87" spans="1:14" ht="15" customHeight="1">
      <c r="A87" s="4">
        <v>65</v>
      </c>
      <c r="B87" s="5" t="s">
        <v>138</v>
      </c>
      <c r="C87" s="2">
        <v>-81.040000000000006</v>
      </c>
      <c r="D87" s="2">
        <v>38.299999999999997</v>
      </c>
      <c r="E87" s="5">
        <v>17.899999999999999</v>
      </c>
      <c r="F87" s="5">
        <v>17.899999999999999</v>
      </c>
      <c r="G87" s="5"/>
      <c r="H87" s="5">
        <v>4.0999999999999996</v>
      </c>
      <c r="I87" s="5"/>
      <c r="J87" s="5">
        <v>13.8</v>
      </c>
      <c r="K87" s="5"/>
      <c r="L87" s="5" t="s">
        <v>62</v>
      </c>
      <c r="M87" s="5" t="s">
        <v>136</v>
      </c>
      <c r="N87" s="6"/>
    </row>
    <row r="88" spans="1:14" ht="15" customHeight="1">
      <c r="A88" s="4">
        <v>67</v>
      </c>
      <c r="B88" s="5" t="s">
        <v>139</v>
      </c>
      <c r="C88" s="2">
        <v>-81.12</v>
      </c>
      <c r="D88" s="2">
        <v>38.28</v>
      </c>
      <c r="E88" s="5">
        <v>27.5</v>
      </c>
      <c r="F88" s="5">
        <v>27.5</v>
      </c>
      <c r="G88" s="5">
        <v>7.7</v>
      </c>
      <c r="H88" s="5">
        <v>7.9</v>
      </c>
      <c r="I88" s="5"/>
      <c r="J88" s="5">
        <v>11.9</v>
      </c>
      <c r="K88" s="5"/>
      <c r="L88" s="5" t="s">
        <v>62</v>
      </c>
      <c r="M88" s="5" t="s">
        <v>136</v>
      </c>
      <c r="N88" s="6"/>
    </row>
    <row r="89" spans="1:14" ht="15" customHeight="1">
      <c r="A89" s="4">
        <v>68</v>
      </c>
      <c r="B89" s="5" t="s">
        <v>140</v>
      </c>
      <c r="C89" s="2">
        <v>-81.11</v>
      </c>
      <c r="D89" s="2">
        <v>38.299999999999997</v>
      </c>
      <c r="E89" s="5">
        <v>21.5</v>
      </c>
      <c r="F89" s="5">
        <v>21.5</v>
      </c>
      <c r="G89" s="5">
        <v>4.3</v>
      </c>
      <c r="H89" s="5">
        <v>5.5</v>
      </c>
      <c r="I89" s="5"/>
      <c r="J89" s="5">
        <v>11.7</v>
      </c>
      <c r="K89" s="5"/>
      <c r="L89" s="5" t="s">
        <v>62</v>
      </c>
      <c r="M89" s="5" t="s">
        <v>136</v>
      </c>
      <c r="N89" s="6"/>
    </row>
    <row r="90" spans="1:14" ht="15" customHeight="1">
      <c r="A90" s="4">
        <v>70</v>
      </c>
      <c r="B90" s="5" t="s">
        <v>141</v>
      </c>
      <c r="C90" s="2">
        <v>-81.08</v>
      </c>
      <c r="D90" s="2">
        <v>38.29</v>
      </c>
      <c r="E90" s="5">
        <v>20.6</v>
      </c>
      <c r="F90" s="5">
        <v>20.6</v>
      </c>
      <c r="G90" s="5">
        <v>4.3</v>
      </c>
      <c r="H90" s="5">
        <v>3.9</v>
      </c>
      <c r="I90" s="5"/>
      <c r="J90" s="5">
        <v>12.4</v>
      </c>
      <c r="K90" s="5"/>
      <c r="L90" s="5" t="s">
        <v>62</v>
      </c>
      <c r="M90" s="5" t="s">
        <v>136</v>
      </c>
      <c r="N90" s="6"/>
    </row>
    <row r="91" spans="1:14" ht="15" customHeight="1">
      <c r="A91" s="4">
        <v>71</v>
      </c>
      <c r="B91" s="5" t="s">
        <v>142</v>
      </c>
      <c r="C91" s="2">
        <v>-81.040000000000006</v>
      </c>
      <c r="D91" s="2">
        <v>38.299999999999997</v>
      </c>
      <c r="E91" s="5">
        <v>12.8</v>
      </c>
      <c r="F91" s="5">
        <v>12.8</v>
      </c>
      <c r="G91" s="5">
        <v>2.2999999999999998</v>
      </c>
      <c r="H91" s="5">
        <v>3.8</v>
      </c>
      <c r="I91" s="5"/>
      <c r="J91" s="5">
        <v>6.7</v>
      </c>
      <c r="K91" s="5"/>
      <c r="L91" s="5" t="s">
        <v>62</v>
      </c>
      <c r="M91" s="5" t="s">
        <v>136</v>
      </c>
      <c r="N91" s="6"/>
    </row>
    <row r="92" spans="1:14" ht="15" customHeight="1">
      <c r="A92" s="4">
        <v>73</v>
      </c>
      <c r="B92" s="5" t="s">
        <v>143</v>
      </c>
      <c r="C92" s="2">
        <v>-81.03</v>
      </c>
      <c r="D92" s="2">
        <v>38.31</v>
      </c>
      <c r="E92" s="5">
        <v>52.7</v>
      </c>
      <c r="F92" s="5">
        <v>52.7</v>
      </c>
      <c r="G92" s="5"/>
      <c r="H92" s="5"/>
      <c r="I92" s="5"/>
      <c r="J92" s="5">
        <v>46.4</v>
      </c>
      <c r="K92" s="5">
        <v>6.3</v>
      </c>
      <c r="L92" s="5" t="s">
        <v>62</v>
      </c>
      <c r="M92" s="5" t="s">
        <v>136</v>
      </c>
      <c r="N92" s="6"/>
    </row>
    <row r="93" spans="1:14" ht="15" customHeight="1">
      <c r="A93" s="4">
        <v>136</v>
      </c>
      <c r="B93" s="5" t="s">
        <v>144</v>
      </c>
      <c r="C93" s="2">
        <v>-81.049000000000007</v>
      </c>
      <c r="D93" s="2">
        <v>38.319000000000003</v>
      </c>
      <c r="E93" s="5">
        <v>10.9</v>
      </c>
      <c r="F93" s="5">
        <v>10.9</v>
      </c>
      <c r="G93" s="5"/>
      <c r="H93" s="5">
        <v>1.3</v>
      </c>
      <c r="I93" s="5"/>
      <c r="J93" s="5">
        <v>9.6</v>
      </c>
      <c r="K93" s="5"/>
      <c r="L93" s="5" t="s">
        <v>62</v>
      </c>
      <c r="M93" s="5" t="s">
        <v>136</v>
      </c>
      <c r="N93" s="6"/>
    </row>
    <row r="94" spans="1:14" ht="15" customHeight="1">
      <c r="A94" s="4">
        <v>137</v>
      </c>
      <c r="B94" s="5" t="s">
        <v>145</v>
      </c>
      <c r="C94" s="2">
        <v>-81.037999999999997</v>
      </c>
      <c r="D94" s="2">
        <v>38.320999999999998</v>
      </c>
      <c r="E94" s="5">
        <v>1.5</v>
      </c>
      <c r="F94" s="5">
        <v>1.5</v>
      </c>
      <c r="G94" s="5"/>
      <c r="H94" s="5">
        <v>0.4</v>
      </c>
      <c r="I94" s="5"/>
      <c r="J94" s="5">
        <v>1.1000000000000001</v>
      </c>
      <c r="K94" s="5"/>
      <c r="L94" s="5" t="s">
        <v>62</v>
      </c>
      <c r="M94" s="5" t="s">
        <v>136</v>
      </c>
      <c r="N94" s="6"/>
    </row>
    <row r="95" spans="1:14" ht="15" customHeight="1">
      <c r="A95" s="4">
        <v>144</v>
      </c>
      <c r="B95" s="5" t="s">
        <v>146</v>
      </c>
      <c r="C95" s="2">
        <v>-110.83499999999999</v>
      </c>
      <c r="D95" s="2">
        <v>44.561</v>
      </c>
      <c r="E95" s="5">
        <v>57417</v>
      </c>
      <c r="F95" s="5">
        <v>11078</v>
      </c>
      <c r="G95" s="5">
        <v>754</v>
      </c>
      <c r="H95" s="5">
        <v>28</v>
      </c>
      <c r="I95" s="5">
        <v>4014</v>
      </c>
      <c r="J95" s="5">
        <v>3703</v>
      </c>
      <c r="K95" s="5">
        <v>2579</v>
      </c>
      <c r="L95" s="5" t="s">
        <v>17</v>
      </c>
      <c r="M95" s="5"/>
      <c r="N95" s="6"/>
    </row>
    <row r="96" spans="1:14" ht="15" customHeight="1">
      <c r="A96" s="4">
        <v>145</v>
      </c>
      <c r="B96" s="5" t="s">
        <v>147</v>
      </c>
      <c r="C96" s="2">
        <v>-110.836</v>
      </c>
      <c r="D96" s="2">
        <v>44.561999999999998</v>
      </c>
      <c r="E96" s="5">
        <v>171346</v>
      </c>
      <c r="F96" s="5">
        <v>7743</v>
      </c>
      <c r="G96" s="5">
        <v>439</v>
      </c>
      <c r="H96" s="5">
        <v>13</v>
      </c>
      <c r="I96" s="5">
        <v>887</v>
      </c>
      <c r="J96" s="5">
        <v>4632</v>
      </c>
      <c r="K96" s="5">
        <v>1772</v>
      </c>
      <c r="L96" s="5" t="s">
        <v>17</v>
      </c>
      <c r="M96" s="5"/>
      <c r="N96" s="6"/>
    </row>
    <row r="97" spans="1:14" ht="15" customHeight="1">
      <c r="A97" s="4">
        <v>146</v>
      </c>
      <c r="B97" s="5" t="s">
        <v>148</v>
      </c>
      <c r="C97" s="2">
        <v>-110.687</v>
      </c>
      <c r="D97" s="2">
        <v>44.11</v>
      </c>
      <c r="E97" s="5">
        <v>209541</v>
      </c>
      <c r="F97" s="5">
        <v>7960</v>
      </c>
      <c r="G97" s="5">
        <v>1509</v>
      </c>
      <c r="H97" s="5">
        <v>256</v>
      </c>
      <c r="I97" s="5">
        <v>1196</v>
      </c>
      <c r="J97" s="5">
        <v>2373</v>
      </c>
      <c r="K97" s="5">
        <v>2626</v>
      </c>
      <c r="L97" s="5" t="s">
        <v>17</v>
      </c>
      <c r="M97" s="5"/>
      <c r="N97" s="6"/>
    </row>
    <row r="98" spans="1:14" ht="15" customHeight="1">
      <c r="A98" s="4">
        <v>147</v>
      </c>
      <c r="B98" s="5" t="s">
        <v>149</v>
      </c>
      <c r="C98" s="2">
        <v>-110.855</v>
      </c>
      <c r="D98" s="2">
        <v>44.640999999999998</v>
      </c>
      <c r="E98" s="5">
        <v>28748</v>
      </c>
      <c r="F98" s="5">
        <v>3949</v>
      </c>
      <c r="G98" s="5">
        <v>384</v>
      </c>
      <c r="H98" s="5">
        <v>577</v>
      </c>
      <c r="I98" s="5">
        <v>1361</v>
      </c>
      <c r="J98" s="5">
        <v>861</v>
      </c>
      <c r="K98" s="5">
        <v>766</v>
      </c>
      <c r="L98" s="5" t="s">
        <v>17</v>
      </c>
      <c r="M98" s="5"/>
      <c r="N98" s="6"/>
    </row>
    <row r="99" spans="1:14" ht="15" customHeight="1">
      <c r="A99" s="4">
        <v>21</v>
      </c>
      <c r="B99" s="5" t="s">
        <v>150</v>
      </c>
      <c r="C99" s="2">
        <v>-111.85</v>
      </c>
      <c r="D99" s="2">
        <v>36.5</v>
      </c>
      <c r="E99" s="5">
        <v>7.9672000000000001</v>
      </c>
      <c r="F99" s="5">
        <v>7.3316999999999997</v>
      </c>
      <c r="G99" s="5">
        <v>0</v>
      </c>
      <c r="H99" s="5">
        <v>0</v>
      </c>
      <c r="I99" s="5">
        <v>0.45040000000000002</v>
      </c>
      <c r="J99" s="5">
        <v>1.1032</v>
      </c>
      <c r="K99" s="5">
        <v>5.7781000000000002</v>
      </c>
      <c r="L99" s="5" t="s">
        <v>62</v>
      </c>
      <c r="M99" s="5" t="s">
        <v>151</v>
      </c>
      <c r="N99" s="6"/>
    </row>
    <row r="100" spans="1:14" ht="15" customHeight="1">
      <c r="A100" s="4">
        <v>22</v>
      </c>
      <c r="B100" s="5" t="s">
        <v>152</v>
      </c>
      <c r="C100" s="2">
        <v>-111.81</v>
      </c>
      <c r="D100" s="2">
        <v>36.17</v>
      </c>
      <c r="E100" s="5">
        <v>1.312966667</v>
      </c>
      <c r="F100" s="5">
        <v>1.0054666670000001</v>
      </c>
      <c r="G100" s="5">
        <v>0</v>
      </c>
      <c r="H100" s="5">
        <v>0</v>
      </c>
      <c r="I100" s="5">
        <v>0.17443333329999999</v>
      </c>
      <c r="J100" s="5">
        <v>0.54896666670000005</v>
      </c>
      <c r="K100" s="5">
        <v>0.28206666670000002</v>
      </c>
      <c r="L100" s="5" t="s">
        <v>62</v>
      </c>
      <c r="M100" s="5" t="s">
        <v>151</v>
      </c>
      <c r="N100" s="6"/>
    </row>
    <row r="101" spans="1:14" ht="15" customHeight="1">
      <c r="A101" s="4">
        <v>23</v>
      </c>
      <c r="B101" s="5" t="s">
        <v>153</v>
      </c>
      <c r="C101" s="2">
        <v>-112.49</v>
      </c>
      <c r="D101" s="2">
        <v>36.28</v>
      </c>
      <c r="E101" s="5">
        <v>1.0112333330000001</v>
      </c>
      <c r="F101" s="5">
        <v>0.97936666670000005</v>
      </c>
      <c r="G101" s="5">
        <v>0</v>
      </c>
      <c r="H101" s="5">
        <v>0</v>
      </c>
      <c r="I101" s="5">
        <v>1.786666667E-2</v>
      </c>
      <c r="J101" s="5">
        <v>0.43780000000000002</v>
      </c>
      <c r="K101" s="5">
        <v>0.52370000000000005</v>
      </c>
      <c r="L101" s="5" t="s">
        <v>62</v>
      </c>
      <c r="M101" s="5" t="s">
        <v>151</v>
      </c>
      <c r="N101" s="6"/>
    </row>
    <row r="102" spans="1:14" ht="15" customHeight="1">
      <c r="A102" s="4">
        <v>24</v>
      </c>
      <c r="B102" s="5" t="s">
        <v>154</v>
      </c>
      <c r="C102" s="2">
        <v>-112.85</v>
      </c>
      <c r="D102" s="2">
        <v>36.72</v>
      </c>
      <c r="E102" s="5">
        <v>1.5205333329999999</v>
      </c>
      <c r="F102" s="5">
        <v>1.2675666670000001</v>
      </c>
      <c r="G102" s="5">
        <v>6.9999999999999999E-4</v>
      </c>
      <c r="H102" s="5">
        <v>0</v>
      </c>
      <c r="I102" s="5">
        <v>5.7233333329999997E-2</v>
      </c>
      <c r="J102" s="5">
        <v>0.63456666669999995</v>
      </c>
      <c r="K102" s="5">
        <v>0.57506666669999995</v>
      </c>
      <c r="L102" s="5" t="s">
        <v>62</v>
      </c>
      <c r="M102" s="5" t="s">
        <v>151</v>
      </c>
      <c r="N102" s="6"/>
    </row>
    <row r="103" spans="1:14" ht="15" customHeight="1">
      <c r="A103" s="4">
        <v>25</v>
      </c>
      <c r="B103" s="5" t="s">
        <v>155</v>
      </c>
      <c r="C103" s="2">
        <v>-113.36</v>
      </c>
      <c r="D103" s="2">
        <v>35.770000000000003</v>
      </c>
      <c r="E103" s="5">
        <v>1.407</v>
      </c>
      <c r="F103" s="5">
        <v>1.1706333330000001</v>
      </c>
      <c r="G103" s="5">
        <v>0</v>
      </c>
      <c r="H103" s="5">
        <v>0</v>
      </c>
      <c r="I103" s="5">
        <v>5.9333333330000002E-2</v>
      </c>
      <c r="J103" s="5">
        <v>0.5756666667</v>
      </c>
      <c r="K103" s="5">
        <v>0.53563333329999996</v>
      </c>
      <c r="L103" s="5" t="s">
        <v>62</v>
      </c>
      <c r="M103" s="5" t="s">
        <v>151</v>
      </c>
      <c r="N103" s="6"/>
    </row>
    <row r="104" spans="1:14" ht="15" customHeight="1">
      <c r="A104" s="4">
        <v>4</v>
      </c>
      <c r="B104" s="5" t="s">
        <v>156</v>
      </c>
      <c r="C104" s="2">
        <v>-105.86</v>
      </c>
      <c r="D104" s="2">
        <v>39.57</v>
      </c>
      <c r="E104" s="5">
        <v>39</v>
      </c>
      <c r="F104" s="5">
        <v>39</v>
      </c>
      <c r="G104" s="7">
        <v>0</v>
      </c>
      <c r="H104" s="7">
        <v>11</v>
      </c>
      <c r="I104" s="7">
        <v>5</v>
      </c>
      <c r="J104" s="5">
        <v>14</v>
      </c>
      <c r="K104" s="5">
        <v>9</v>
      </c>
      <c r="L104" s="5" t="s">
        <v>20</v>
      </c>
      <c r="M104" s="5"/>
      <c r="N104" s="6"/>
    </row>
    <row r="105" spans="1:14" ht="15" customHeight="1">
      <c r="A105" s="4">
        <v>5</v>
      </c>
      <c r="B105" s="5" t="s">
        <v>157</v>
      </c>
      <c r="C105" s="2">
        <v>-106.07</v>
      </c>
      <c r="D105" s="2">
        <v>39.270000000000003</v>
      </c>
      <c r="E105" s="5">
        <v>1716</v>
      </c>
      <c r="F105" s="5">
        <v>1716</v>
      </c>
      <c r="G105" s="5">
        <v>1127</v>
      </c>
      <c r="H105" s="5">
        <v>228</v>
      </c>
      <c r="I105" s="5">
        <v>303</v>
      </c>
      <c r="J105" s="5">
        <v>2</v>
      </c>
      <c r="K105" s="5">
        <v>56</v>
      </c>
      <c r="L105" s="5" t="s">
        <v>20</v>
      </c>
      <c r="M105" s="5"/>
      <c r="N105" s="6"/>
    </row>
    <row r="106" spans="1:14" ht="15" customHeight="1">
      <c r="A106" s="4">
        <v>6</v>
      </c>
      <c r="B106" s="5" t="s">
        <v>158</v>
      </c>
      <c r="C106" s="2">
        <v>-106.07</v>
      </c>
      <c r="D106" s="2">
        <v>39.28</v>
      </c>
      <c r="E106" s="5">
        <v>2284</v>
      </c>
      <c r="F106" s="5">
        <v>2284</v>
      </c>
      <c r="G106" s="5">
        <v>1293</v>
      </c>
      <c r="H106" s="5">
        <v>383</v>
      </c>
      <c r="I106" s="5">
        <v>321</v>
      </c>
      <c r="J106" s="5">
        <v>257</v>
      </c>
      <c r="K106" s="5">
        <v>30</v>
      </c>
      <c r="L106" s="5" t="s">
        <v>20</v>
      </c>
      <c r="M106" s="5"/>
      <c r="N106" s="6"/>
    </row>
    <row r="107" spans="1:14" ht="15" customHeight="1">
      <c r="A107" s="4">
        <v>7</v>
      </c>
      <c r="B107" s="5" t="s">
        <v>159</v>
      </c>
      <c r="C107" s="2">
        <v>-106.21</v>
      </c>
      <c r="D107" s="2">
        <v>39.35</v>
      </c>
      <c r="E107" s="5">
        <v>4465</v>
      </c>
      <c r="F107" s="5">
        <v>4465</v>
      </c>
      <c r="G107" s="5">
        <v>1770</v>
      </c>
      <c r="H107" s="5">
        <v>1102</v>
      </c>
      <c r="I107" s="5">
        <v>973</v>
      </c>
      <c r="J107" s="5">
        <v>469</v>
      </c>
      <c r="K107" s="5">
        <v>151</v>
      </c>
      <c r="L107" s="5" t="s">
        <v>20</v>
      </c>
      <c r="M107" s="5"/>
      <c r="N107" s="6"/>
    </row>
    <row r="108" spans="1:14" ht="15" customHeight="1">
      <c r="A108" s="4">
        <v>8</v>
      </c>
      <c r="B108" s="5" t="s">
        <v>160</v>
      </c>
      <c r="C108" s="2">
        <v>-106.08</v>
      </c>
      <c r="D108" s="2">
        <v>39.200000000000003</v>
      </c>
      <c r="E108" s="5">
        <v>5196</v>
      </c>
      <c r="F108" s="5">
        <v>5196</v>
      </c>
      <c r="G108" s="5">
        <v>3002</v>
      </c>
      <c r="H108" s="5">
        <v>862</v>
      </c>
      <c r="I108" s="5">
        <v>526</v>
      </c>
      <c r="J108" s="5">
        <v>767</v>
      </c>
      <c r="K108" s="5">
        <v>39</v>
      </c>
      <c r="L108" s="5" t="s">
        <v>20</v>
      </c>
      <c r="M108" s="5"/>
      <c r="N108" s="6"/>
    </row>
    <row r="109" spans="1:14" ht="15" customHeight="1">
      <c r="A109" s="4">
        <v>114</v>
      </c>
      <c r="B109" s="5" t="s">
        <v>161</v>
      </c>
      <c r="C109" s="2">
        <v>-83.45</v>
      </c>
      <c r="D109" s="2">
        <v>35.049999999999997</v>
      </c>
      <c r="E109" s="5">
        <v>4453</v>
      </c>
      <c r="F109" s="5"/>
      <c r="G109" s="5"/>
      <c r="H109" s="5"/>
      <c r="I109" s="5"/>
      <c r="J109" s="5"/>
      <c r="K109" s="5"/>
      <c r="L109" s="12" t="s">
        <v>17</v>
      </c>
      <c r="M109" s="5" t="s">
        <v>162</v>
      </c>
      <c r="N109" s="6"/>
    </row>
    <row r="110" spans="1:14" ht="15" customHeight="1">
      <c r="A110" s="4">
        <v>115</v>
      </c>
      <c r="B110" s="5" t="s">
        <v>163</v>
      </c>
      <c r="C110" s="2">
        <v>-83.45</v>
      </c>
      <c r="D110" s="2">
        <v>35.049999999999997</v>
      </c>
      <c r="E110" s="5">
        <v>11918</v>
      </c>
      <c r="F110" s="5"/>
      <c r="G110" s="5"/>
      <c r="H110" s="5"/>
      <c r="I110" s="5"/>
      <c r="J110" s="5"/>
      <c r="K110" s="5"/>
      <c r="L110" s="12" t="s">
        <v>17</v>
      </c>
      <c r="M110" s="5" t="s">
        <v>162</v>
      </c>
      <c r="N110" s="6"/>
    </row>
    <row r="111" spans="1:14" ht="15" customHeight="1">
      <c r="A111" s="4">
        <v>116</v>
      </c>
      <c r="B111" s="5" t="s">
        <v>164</v>
      </c>
      <c r="C111" s="2">
        <v>-83.45</v>
      </c>
      <c r="D111" s="2">
        <v>35.04</v>
      </c>
      <c r="E111" s="5">
        <v>5210</v>
      </c>
      <c r="F111" s="5"/>
      <c r="G111" s="5"/>
      <c r="H111" s="5"/>
      <c r="I111" s="5"/>
      <c r="J111" s="5"/>
      <c r="K111" s="5"/>
      <c r="L111" s="12" t="s">
        <v>17</v>
      </c>
      <c r="M111" s="5" t="s">
        <v>162</v>
      </c>
      <c r="N111" s="6"/>
    </row>
    <row r="112" spans="1:14" ht="15" customHeight="1">
      <c r="A112" s="8">
        <v>117</v>
      </c>
      <c r="B112" s="9" t="s">
        <v>165</v>
      </c>
      <c r="C112" s="2">
        <v>-83.45</v>
      </c>
      <c r="D112" s="2">
        <v>35.04</v>
      </c>
      <c r="E112" s="9">
        <v>9233</v>
      </c>
      <c r="F112" s="9"/>
      <c r="G112" s="9"/>
      <c r="H112" s="9"/>
      <c r="I112" s="9"/>
      <c r="J112" s="9"/>
      <c r="K112" s="9"/>
      <c r="L112" s="12" t="s">
        <v>17</v>
      </c>
      <c r="M112" s="9" t="s">
        <v>162</v>
      </c>
      <c r="N112" s="10"/>
    </row>
    <row r="113" spans="1:16" ht="15" customHeight="1">
      <c r="A113">
        <v>149</v>
      </c>
      <c r="B113" t="s">
        <v>166</v>
      </c>
      <c r="C113" s="2">
        <v>-91.037000000000006</v>
      </c>
      <c r="D113" s="2">
        <v>47.573999999999998</v>
      </c>
      <c r="E113">
        <v>32.5</v>
      </c>
      <c r="F113">
        <v>21.06</v>
      </c>
      <c r="G113">
        <v>5.94</v>
      </c>
      <c r="H113">
        <v>3.09</v>
      </c>
      <c r="I113">
        <v>4.24</v>
      </c>
      <c r="L113" t="s">
        <v>167</v>
      </c>
      <c r="M113" t="s">
        <v>168</v>
      </c>
      <c r="N113">
        <v>4.5</v>
      </c>
    </row>
    <row r="114" spans="1:16" ht="15" customHeight="1">
      <c r="A114">
        <v>150</v>
      </c>
      <c r="B114" t="s">
        <v>169</v>
      </c>
      <c r="C114" s="2">
        <v>-92.561000000000007</v>
      </c>
      <c r="D114" s="2">
        <v>46.618000000000002</v>
      </c>
      <c r="E114">
        <v>132.4</v>
      </c>
      <c r="F114">
        <v>112.342</v>
      </c>
      <c r="G114">
        <v>14.52</v>
      </c>
      <c r="H114">
        <v>2</v>
      </c>
      <c r="I114">
        <v>37.472000000000001</v>
      </c>
      <c r="L114" t="s">
        <v>167</v>
      </c>
      <c r="M114" t="s">
        <v>168</v>
      </c>
      <c r="N114">
        <v>6</v>
      </c>
    </row>
    <row r="115" spans="1:16" ht="15" customHeight="1">
      <c r="A115">
        <v>151</v>
      </c>
      <c r="B115" t="s">
        <v>170</v>
      </c>
      <c r="C115" s="2">
        <v>-92.531000000000006</v>
      </c>
      <c r="D115" s="2">
        <v>43.661999999999999</v>
      </c>
      <c r="E115">
        <v>78.099999999999994</v>
      </c>
      <c r="F115">
        <v>42.79</v>
      </c>
      <c r="G115">
        <v>4.9000000000000004</v>
      </c>
      <c r="H115">
        <v>5.6840000000000002</v>
      </c>
      <c r="I115">
        <v>15.851000000000001</v>
      </c>
      <c r="L115" t="s">
        <v>167</v>
      </c>
      <c r="M115" t="s">
        <v>168</v>
      </c>
      <c r="N115">
        <v>5.5</v>
      </c>
    </row>
    <row r="116" spans="1:16" ht="15" customHeight="1">
      <c r="A116">
        <v>167</v>
      </c>
      <c r="B116" t="s">
        <v>171</v>
      </c>
      <c r="C116" s="2">
        <v>-80.582999999999998</v>
      </c>
      <c r="D116" s="2">
        <v>8.6669999999999998</v>
      </c>
      <c r="E116">
        <v>3096.5</v>
      </c>
      <c r="F116">
        <v>2897.9</v>
      </c>
      <c r="G116">
        <v>285.10000000000002</v>
      </c>
      <c r="H116">
        <v>21.8</v>
      </c>
      <c r="I116">
        <v>614.6</v>
      </c>
      <c r="L116" s="12" t="s">
        <v>17</v>
      </c>
      <c r="M116" t="s">
        <v>172</v>
      </c>
      <c r="N116">
        <v>3.28</v>
      </c>
      <c r="P116" t="s">
        <v>173</v>
      </c>
    </row>
    <row r="117" spans="1:16" ht="15" customHeight="1">
      <c r="A117">
        <v>168</v>
      </c>
      <c r="B117" t="s">
        <v>174</v>
      </c>
      <c r="C117" s="2">
        <v>-80.582999999999998</v>
      </c>
      <c r="D117" s="2">
        <v>8.6669999999999998</v>
      </c>
      <c r="E117">
        <v>4369.3999999999996</v>
      </c>
      <c r="F117">
        <v>4091.4</v>
      </c>
      <c r="G117">
        <v>287.2</v>
      </c>
      <c r="H117">
        <v>4.2</v>
      </c>
      <c r="I117">
        <v>542.20000000000005</v>
      </c>
      <c r="L117" s="12" t="s">
        <v>17</v>
      </c>
      <c r="N117">
        <v>3.55</v>
      </c>
      <c r="P117" t="s">
        <v>173</v>
      </c>
    </row>
    <row r="118" spans="1:16" ht="15" customHeight="1">
      <c r="A118">
        <v>169</v>
      </c>
      <c r="B118" t="s">
        <v>175</v>
      </c>
      <c r="C118" s="2">
        <v>-80.233000000000004</v>
      </c>
      <c r="D118" s="2">
        <v>8.6999999999999993</v>
      </c>
      <c r="E118">
        <v>3643.8</v>
      </c>
      <c r="F118">
        <v>3505.6</v>
      </c>
      <c r="G118">
        <v>574.1</v>
      </c>
      <c r="H118">
        <v>165.8</v>
      </c>
      <c r="I118">
        <v>306.10000000000002</v>
      </c>
      <c r="L118" s="12" t="s">
        <v>17</v>
      </c>
      <c r="N118">
        <v>3.37</v>
      </c>
      <c r="P118" t="s">
        <v>173</v>
      </c>
    </row>
    <row r="119" spans="1:16" ht="15" customHeight="1">
      <c r="A119">
        <v>170</v>
      </c>
      <c r="B119" t="s">
        <v>176</v>
      </c>
      <c r="C119" s="2">
        <v>-80.233000000000004</v>
      </c>
      <c r="D119" s="2">
        <v>8.6999999999999993</v>
      </c>
      <c r="E119">
        <v>3858.4</v>
      </c>
      <c r="F119">
        <v>3441.2</v>
      </c>
      <c r="G119">
        <v>403.3</v>
      </c>
      <c r="H119">
        <v>2.5</v>
      </c>
      <c r="I119">
        <v>1150.7</v>
      </c>
      <c r="L119" s="12" t="s">
        <v>17</v>
      </c>
      <c r="N119">
        <v>2.0099999999999998</v>
      </c>
      <c r="P119" t="s">
        <v>173</v>
      </c>
    </row>
    <row r="120" spans="1:16" ht="15" customHeight="1">
      <c r="A120">
        <v>78</v>
      </c>
      <c r="B120" t="s">
        <v>177</v>
      </c>
      <c r="C120" s="2">
        <v>-118.83</v>
      </c>
      <c r="D120" s="2">
        <v>37.61</v>
      </c>
      <c r="E120">
        <v>4.4649999999999999</v>
      </c>
      <c r="F120">
        <v>4.4649999999999999</v>
      </c>
      <c r="G120">
        <v>1.472</v>
      </c>
      <c r="H120">
        <v>0.26600000000000001</v>
      </c>
      <c r="I120">
        <v>2.3769999999999998</v>
      </c>
      <c r="J120">
        <v>0.12</v>
      </c>
      <c r="L120" s="12" t="s">
        <v>80</v>
      </c>
      <c r="P120" t="s">
        <v>178</v>
      </c>
    </row>
    <row r="121" spans="1:16" ht="15" customHeight="1">
      <c r="A121">
        <v>83</v>
      </c>
      <c r="B121" t="s">
        <v>179</v>
      </c>
      <c r="C121" s="2">
        <v>-79.510000000000005</v>
      </c>
      <c r="D121" s="2">
        <v>37.9</v>
      </c>
      <c r="E121">
        <v>1.81</v>
      </c>
      <c r="F121">
        <v>0.84</v>
      </c>
      <c r="G121">
        <v>0.17</v>
      </c>
      <c r="H121">
        <v>0.44</v>
      </c>
      <c r="I121">
        <v>0.05</v>
      </c>
      <c r="L121" s="12" t="s">
        <v>80</v>
      </c>
      <c r="M121" s="11" t="s">
        <v>180</v>
      </c>
      <c r="N121">
        <v>3</v>
      </c>
      <c r="P121" t="s">
        <v>181</v>
      </c>
    </row>
    <row r="122" spans="1:16" ht="15" customHeight="1">
      <c r="A122">
        <v>84</v>
      </c>
      <c r="B122" t="s">
        <v>182</v>
      </c>
      <c r="C122" s="2">
        <v>-79.5</v>
      </c>
      <c r="D122" s="2">
        <v>37.92</v>
      </c>
      <c r="E122">
        <v>12.46</v>
      </c>
      <c r="F122">
        <v>11.92</v>
      </c>
      <c r="G122">
        <v>0.74</v>
      </c>
      <c r="H122">
        <v>0.74</v>
      </c>
      <c r="I122">
        <v>9.74</v>
      </c>
      <c r="L122" s="12" t="s">
        <v>80</v>
      </c>
      <c r="M122" s="11" t="s">
        <v>180</v>
      </c>
      <c r="N122">
        <v>5.3</v>
      </c>
      <c r="P122" t="s">
        <v>181</v>
      </c>
    </row>
    <row r="123" spans="1:16" ht="15" customHeight="1">
      <c r="A123">
        <v>85</v>
      </c>
      <c r="B123" t="s">
        <v>183</v>
      </c>
      <c r="C123" s="2">
        <v>-79.48</v>
      </c>
      <c r="D123" s="2">
        <v>37.94</v>
      </c>
      <c r="E123">
        <v>9.52</v>
      </c>
      <c r="F123">
        <v>8.16</v>
      </c>
      <c r="G123">
        <v>0.57999999999999996</v>
      </c>
      <c r="H123">
        <v>0.28999999999999998</v>
      </c>
      <c r="I123">
        <v>6.62</v>
      </c>
      <c r="L123" s="12" t="s">
        <v>80</v>
      </c>
      <c r="M123" s="11" t="s">
        <v>180</v>
      </c>
      <c r="N123">
        <v>6.1</v>
      </c>
      <c r="P123" t="s">
        <v>181</v>
      </c>
    </row>
    <row r="124" spans="1:16" ht="15" customHeight="1">
      <c r="A124">
        <v>86</v>
      </c>
      <c r="B124" t="s">
        <v>184</v>
      </c>
      <c r="C124" s="2">
        <v>-79.47</v>
      </c>
      <c r="D124" s="2">
        <v>37.950000000000003</v>
      </c>
      <c r="E124">
        <v>5.54</v>
      </c>
      <c r="F124">
        <v>3.98</v>
      </c>
      <c r="G124">
        <v>0.88</v>
      </c>
      <c r="H124">
        <v>0.32</v>
      </c>
      <c r="I124">
        <v>2.2400000000000002</v>
      </c>
      <c r="L124" s="12" t="s">
        <v>80</v>
      </c>
      <c r="M124" s="11" t="s">
        <v>180</v>
      </c>
      <c r="N124">
        <v>5.6</v>
      </c>
      <c r="P124" t="s">
        <v>181</v>
      </c>
    </row>
    <row r="125" spans="1:16" ht="15" customHeight="1">
      <c r="A125">
        <v>87</v>
      </c>
      <c r="B125" t="s">
        <v>185</v>
      </c>
      <c r="C125" s="2">
        <v>-79.489999999999995</v>
      </c>
      <c r="D125" s="2">
        <v>37.93</v>
      </c>
      <c r="E125">
        <v>3.81</v>
      </c>
      <c r="F125">
        <v>1.29</v>
      </c>
      <c r="G125">
        <v>0.13</v>
      </c>
      <c r="H125">
        <v>0.79</v>
      </c>
      <c r="I125">
        <v>0</v>
      </c>
      <c r="L125" s="12" t="s">
        <v>80</v>
      </c>
      <c r="M125" s="11" t="s">
        <v>180</v>
      </c>
      <c r="N125">
        <v>2.9</v>
      </c>
      <c r="P125" t="s">
        <v>181</v>
      </c>
    </row>
    <row r="126" spans="1:16" ht="15" customHeight="1">
      <c r="A126" s="2">
        <v>158</v>
      </c>
      <c r="B126" s="2" t="s">
        <v>186</v>
      </c>
      <c r="C126" s="2">
        <v>-67.655000000000001</v>
      </c>
      <c r="D126" s="2">
        <v>-55.076000000000001</v>
      </c>
      <c r="E126">
        <v>257.89999999999998</v>
      </c>
      <c r="L126" s="12" t="s">
        <v>17</v>
      </c>
    </row>
    <row r="127" spans="1:16" ht="15" customHeight="1">
      <c r="A127" s="2">
        <v>159</v>
      </c>
      <c r="B127" s="2" t="s">
        <v>187</v>
      </c>
      <c r="C127" s="2">
        <v>-67.655000000000001</v>
      </c>
      <c r="D127" s="2">
        <v>-55.076000000000001</v>
      </c>
      <c r="E127">
        <v>864.1</v>
      </c>
      <c r="L127" s="12" t="s">
        <v>17</v>
      </c>
      <c r="M127" t="s">
        <v>188</v>
      </c>
    </row>
    <row r="128" spans="1:16" ht="15" customHeight="1">
      <c r="A128" s="2">
        <v>160</v>
      </c>
      <c r="B128" s="2" t="s">
        <v>189</v>
      </c>
      <c r="C128" s="2">
        <v>-67.655000000000001</v>
      </c>
      <c r="D128" s="2">
        <v>-55.076000000000001</v>
      </c>
      <c r="E128">
        <v>443.3</v>
      </c>
      <c r="L128" s="12" t="s">
        <v>17</v>
      </c>
      <c r="M128" t="s">
        <v>188</v>
      </c>
    </row>
    <row r="129" spans="1:16" ht="15" customHeight="1">
      <c r="A129">
        <v>138</v>
      </c>
      <c r="B129" t="s">
        <v>190</v>
      </c>
      <c r="C129" s="2">
        <v>-83.46</v>
      </c>
      <c r="D129" s="2">
        <v>35.034999999999997</v>
      </c>
      <c r="E129">
        <v>13.99</v>
      </c>
      <c r="F129">
        <v>11.34</v>
      </c>
      <c r="G129">
        <v>0.31</v>
      </c>
      <c r="H129">
        <v>1.08</v>
      </c>
      <c r="I129">
        <v>2.93</v>
      </c>
      <c r="L129" s="5" t="s">
        <v>62</v>
      </c>
      <c r="M129" t="s">
        <v>191</v>
      </c>
    </row>
    <row r="130" spans="1:16" ht="15" customHeight="1">
      <c r="A130">
        <v>139</v>
      </c>
      <c r="B130" s="2" t="s">
        <v>192</v>
      </c>
      <c r="C130" s="2">
        <v>-83.465999999999994</v>
      </c>
      <c r="D130" s="2">
        <v>35.034999999999997</v>
      </c>
      <c r="E130">
        <v>11.49</v>
      </c>
      <c r="F130">
        <v>9.8800000000000008</v>
      </c>
      <c r="G130">
        <v>0.63</v>
      </c>
      <c r="H130">
        <v>2.21</v>
      </c>
      <c r="I130">
        <v>1.85</v>
      </c>
      <c r="L130" s="5" t="s">
        <v>62</v>
      </c>
      <c r="M130" t="s">
        <v>193</v>
      </c>
    </row>
    <row r="131" spans="1:16" ht="15" customHeight="1">
      <c r="A131">
        <v>140</v>
      </c>
      <c r="B131" t="s">
        <v>194</v>
      </c>
      <c r="C131" s="2">
        <v>-83.465999999999994</v>
      </c>
      <c r="D131" s="2">
        <v>35.034999999999997</v>
      </c>
      <c r="E131">
        <v>4.4000000000000004</v>
      </c>
      <c r="F131">
        <v>1.99</v>
      </c>
      <c r="I131">
        <v>0.08</v>
      </c>
      <c r="L131" s="5" t="s">
        <v>62</v>
      </c>
      <c r="M131" t="s">
        <v>193</v>
      </c>
    </row>
    <row r="132" spans="1:16" ht="15" customHeight="1">
      <c r="A132">
        <v>141</v>
      </c>
      <c r="B132" t="s">
        <v>195</v>
      </c>
      <c r="C132" s="2">
        <v>-83.456999999999994</v>
      </c>
      <c r="D132" s="2">
        <v>35.048999999999999</v>
      </c>
      <c r="E132">
        <v>8.86</v>
      </c>
      <c r="F132">
        <v>7.61</v>
      </c>
      <c r="G132">
        <v>0.45</v>
      </c>
      <c r="H132">
        <v>1.67</v>
      </c>
      <c r="I132">
        <v>1.59</v>
      </c>
      <c r="L132" s="5" t="s">
        <v>62</v>
      </c>
      <c r="M132" t="s">
        <v>191</v>
      </c>
    </row>
    <row r="133" spans="1:16" ht="15" customHeight="1">
      <c r="A133">
        <v>142</v>
      </c>
      <c r="B133" t="s">
        <v>196</v>
      </c>
      <c r="C133" s="2">
        <v>-83.456999999999994</v>
      </c>
      <c r="D133" s="2">
        <v>35.048999999999999</v>
      </c>
      <c r="E133">
        <v>10.1</v>
      </c>
      <c r="F133">
        <v>8.4600000000000009</v>
      </c>
      <c r="G133">
        <v>0.11</v>
      </c>
      <c r="H133">
        <v>1.08</v>
      </c>
      <c r="I133">
        <v>1.71</v>
      </c>
      <c r="L133" s="5" t="s">
        <v>62</v>
      </c>
      <c r="M133" t="s">
        <v>193</v>
      </c>
    </row>
    <row r="134" spans="1:16" ht="15" customHeight="1">
      <c r="A134" s="2">
        <v>97</v>
      </c>
      <c r="B134" s="2" t="s">
        <v>197</v>
      </c>
      <c r="C134" s="2">
        <v>-105</v>
      </c>
      <c r="D134" s="2">
        <v>40.54</v>
      </c>
      <c r="E134" s="2">
        <v>48.4</v>
      </c>
      <c r="F134" s="2"/>
      <c r="G134" s="2"/>
      <c r="H134" s="2"/>
      <c r="I134" s="2"/>
      <c r="J134" s="2"/>
      <c r="K134" s="2"/>
      <c r="L134" s="5" t="s">
        <v>62</v>
      </c>
      <c r="M134" s="2" t="s">
        <v>198</v>
      </c>
      <c r="N134" s="2"/>
      <c r="O134" s="2"/>
      <c r="P134" s="2" t="s">
        <v>199</v>
      </c>
    </row>
    <row r="135" spans="1:16" ht="15" customHeight="1">
      <c r="A135" s="2">
        <v>98</v>
      </c>
      <c r="B135" s="2" t="s">
        <v>200</v>
      </c>
      <c r="C135" s="2">
        <v>-104.99</v>
      </c>
      <c r="D135" s="2">
        <v>40.53</v>
      </c>
      <c r="E135" s="2">
        <v>52.2</v>
      </c>
      <c r="F135" s="2"/>
      <c r="G135" s="2"/>
      <c r="H135" s="2"/>
      <c r="I135" s="2"/>
      <c r="J135" s="2"/>
      <c r="K135" s="2"/>
      <c r="L135" s="5" t="s">
        <v>62</v>
      </c>
      <c r="M135" s="2" t="s">
        <v>198</v>
      </c>
      <c r="N135" s="2"/>
      <c r="O135" s="2"/>
      <c r="P135" s="2" t="s">
        <v>199</v>
      </c>
    </row>
    <row r="136" spans="1:16" ht="15" customHeight="1">
      <c r="A136" s="2">
        <v>99</v>
      </c>
      <c r="B136" s="2" t="s">
        <v>201</v>
      </c>
      <c r="C136" s="2">
        <v>-104.98</v>
      </c>
      <c r="D136" s="2">
        <v>40.51</v>
      </c>
      <c r="E136" s="2">
        <v>32</v>
      </c>
      <c r="F136" s="2"/>
      <c r="G136" s="2"/>
      <c r="H136" s="2"/>
      <c r="I136" s="2"/>
      <c r="J136" s="2"/>
      <c r="K136" s="2"/>
      <c r="L136" s="5" t="s">
        <v>62</v>
      </c>
      <c r="M136" s="2" t="s">
        <v>198</v>
      </c>
      <c r="N136" s="2"/>
      <c r="O136" s="2"/>
      <c r="P136" s="2" t="s">
        <v>199</v>
      </c>
    </row>
    <row r="137" spans="1:16" ht="15" customHeight="1">
      <c r="A137" s="2">
        <v>26</v>
      </c>
      <c r="B137" s="2" t="s">
        <v>202</v>
      </c>
      <c r="C137" s="2">
        <v>-83.43</v>
      </c>
      <c r="D137" s="2">
        <v>35.06</v>
      </c>
      <c r="E137" s="2">
        <v>10111</v>
      </c>
      <c r="F137" s="2"/>
      <c r="G137" s="2"/>
      <c r="H137" s="2"/>
      <c r="I137" s="2"/>
      <c r="J137" s="2"/>
      <c r="K137" s="2"/>
      <c r="L137" s="12" t="s">
        <v>17</v>
      </c>
      <c r="M137" s="2" t="s">
        <v>203</v>
      </c>
      <c r="N137" s="2"/>
      <c r="O137" s="2" t="s">
        <v>204</v>
      </c>
      <c r="P137" s="2" t="s">
        <v>205</v>
      </c>
    </row>
    <row r="138" spans="1:16" ht="15" customHeight="1">
      <c r="A138" s="2">
        <v>27</v>
      </c>
      <c r="B138" s="2" t="s">
        <v>206</v>
      </c>
      <c r="C138" s="2">
        <v>-83.43</v>
      </c>
      <c r="D138" s="2">
        <v>35.049999999999997</v>
      </c>
      <c r="E138" s="2">
        <v>9276</v>
      </c>
      <c r="F138" s="2"/>
      <c r="G138" s="2"/>
      <c r="H138" s="2"/>
      <c r="I138" s="2"/>
      <c r="J138" s="2"/>
      <c r="K138" s="2"/>
      <c r="L138" s="13" t="s">
        <v>17</v>
      </c>
      <c r="M138" s="2" t="s">
        <v>203</v>
      </c>
      <c r="N138" s="2"/>
      <c r="O138" s="2" t="s">
        <v>207</v>
      </c>
      <c r="P138" s="2" t="s">
        <v>205</v>
      </c>
    </row>
    <row r="139" spans="1:16" ht="15" customHeight="1">
      <c r="A139" s="2">
        <v>103</v>
      </c>
      <c r="B139" s="2" t="s">
        <v>208</v>
      </c>
      <c r="C139" s="2">
        <v>-83.43</v>
      </c>
      <c r="D139" s="2">
        <v>35.06</v>
      </c>
      <c r="E139" s="2">
        <v>4363</v>
      </c>
      <c r="F139" s="2"/>
      <c r="G139" s="2"/>
      <c r="H139" s="2"/>
      <c r="I139" s="2"/>
      <c r="J139" s="2"/>
      <c r="K139" s="2"/>
      <c r="L139" s="13" t="s">
        <v>17</v>
      </c>
      <c r="M139" s="2" t="s">
        <v>209</v>
      </c>
      <c r="N139" s="2"/>
      <c r="O139" s="2" t="s">
        <v>210</v>
      </c>
      <c r="P139" s="2" t="s">
        <v>211</v>
      </c>
    </row>
    <row r="140" spans="1:16" ht="15" customHeight="1">
      <c r="A140" s="2">
        <v>104</v>
      </c>
      <c r="B140" s="2" t="s">
        <v>212</v>
      </c>
      <c r="C140" s="2">
        <v>-83.43</v>
      </c>
      <c r="D140" s="2">
        <v>35.049999999999997</v>
      </c>
      <c r="E140" s="2">
        <v>8311</v>
      </c>
      <c r="F140" s="2"/>
      <c r="G140" s="2"/>
      <c r="H140" s="2"/>
      <c r="I140" s="2"/>
      <c r="J140" s="2"/>
      <c r="K140" s="2"/>
      <c r="L140" s="13" t="s">
        <v>17</v>
      </c>
      <c r="M140" s="2" t="s">
        <v>209</v>
      </c>
      <c r="N140" s="2"/>
      <c r="O140" s="2" t="s">
        <v>213</v>
      </c>
      <c r="P140" s="2" t="s">
        <v>211</v>
      </c>
    </row>
    <row r="141" spans="1:16" ht="14.45">
      <c r="A141" s="2">
        <v>100</v>
      </c>
      <c r="B141" s="2" t="s">
        <v>214</v>
      </c>
      <c r="C141" s="2">
        <v>-77.09</v>
      </c>
      <c r="D141" s="2">
        <v>37.14</v>
      </c>
      <c r="E141">
        <v>5.6</v>
      </c>
      <c r="L141" s="12" t="s">
        <v>80</v>
      </c>
      <c r="M141" t="s">
        <v>215</v>
      </c>
      <c r="N141">
        <v>2.5</v>
      </c>
      <c r="P141" t="s">
        <v>216</v>
      </c>
    </row>
    <row r="142" spans="1:16" ht="14.45">
      <c r="A142" s="2">
        <v>101</v>
      </c>
      <c r="B142" s="2" t="s">
        <v>217</v>
      </c>
      <c r="C142" s="2">
        <v>-77.03</v>
      </c>
      <c r="D142" s="2">
        <v>37.11</v>
      </c>
      <c r="E142">
        <v>6.2</v>
      </c>
      <c r="L142" s="12" t="s">
        <v>80</v>
      </c>
      <c r="M142" t="s">
        <v>215</v>
      </c>
      <c r="N142">
        <v>3</v>
      </c>
      <c r="P142" t="s">
        <v>218</v>
      </c>
    </row>
    <row r="143" spans="1:16" ht="15" customHeight="1">
      <c r="A143" s="2">
        <v>89</v>
      </c>
      <c r="B143" s="2" t="s">
        <v>219</v>
      </c>
      <c r="C143" s="2">
        <v>-112.88</v>
      </c>
      <c r="D143" s="2">
        <v>44.11</v>
      </c>
      <c r="E143" s="2"/>
      <c r="F143" s="2">
        <v>45.4</v>
      </c>
      <c r="G143" s="2">
        <v>6.6710000000000003</v>
      </c>
      <c r="H143" s="2">
        <v>1.95</v>
      </c>
      <c r="I143" s="2">
        <v>6.01</v>
      </c>
      <c r="J143" s="2"/>
      <c r="K143" s="2">
        <v>5.44</v>
      </c>
      <c r="L143" s="13" t="s">
        <v>80</v>
      </c>
      <c r="M143" s="2" t="s">
        <v>220</v>
      </c>
      <c r="N143" s="2">
        <v>10</v>
      </c>
      <c r="O143" s="2"/>
      <c r="P143" s="2" t="s">
        <v>178</v>
      </c>
    </row>
    <row r="144" spans="1:16" ht="15" customHeight="1">
      <c r="A144" s="2">
        <v>90</v>
      </c>
      <c r="B144" s="2" t="s">
        <v>221</v>
      </c>
      <c r="C144" s="2">
        <v>-113.21</v>
      </c>
      <c r="D144" s="2">
        <v>44</v>
      </c>
      <c r="E144" s="2"/>
      <c r="F144" s="2">
        <v>74.2</v>
      </c>
      <c r="G144" s="2">
        <v>8.77</v>
      </c>
      <c r="H144" s="2">
        <v>2.25</v>
      </c>
      <c r="I144" s="2">
        <v>3.73</v>
      </c>
      <c r="J144" s="2"/>
      <c r="K144" s="2">
        <v>0.27</v>
      </c>
      <c r="L144" s="13" t="s">
        <v>80</v>
      </c>
      <c r="M144" s="2" t="s">
        <v>222</v>
      </c>
      <c r="N144" s="2">
        <v>7.5</v>
      </c>
      <c r="O144" s="2"/>
      <c r="P144" s="2" t="s">
        <v>178</v>
      </c>
    </row>
    <row r="145" spans="1:16" ht="15" customHeight="1">
      <c r="A145" s="2">
        <v>66</v>
      </c>
      <c r="B145" s="2" t="s">
        <v>223</v>
      </c>
      <c r="C145" s="2">
        <v>-85.62</v>
      </c>
      <c r="D145" s="2">
        <v>37.869999999999997</v>
      </c>
      <c r="E145" s="2">
        <v>11555</v>
      </c>
      <c r="F145" s="2"/>
      <c r="G145" s="2"/>
      <c r="H145" s="2"/>
      <c r="I145" s="2"/>
      <c r="J145" s="2"/>
      <c r="K145" s="2"/>
      <c r="L145" s="13" t="s">
        <v>17</v>
      </c>
      <c r="M145" s="2" t="s">
        <v>224</v>
      </c>
      <c r="N145" s="2">
        <v>4.5</v>
      </c>
      <c r="O145" s="2">
        <v>7.3</v>
      </c>
      <c r="P145" s="2" t="s">
        <v>205</v>
      </c>
    </row>
    <row r="146" spans="1:16" ht="15" customHeight="1">
      <c r="A146" s="2">
        <v>74</v>
      </c>
      <c r="B146" s="2" t="s">
        <v>225</v>
      </c>
      <c r="C146" s="2">
        <v>-85.75</v>
      </c>
      <c r="D146" s="2">
        <v>38.119999999999997</v>
      </c>
      <c r="E146" s="2">
        <v>11524</v>
      </c>
      <c r="F146" s="2"/>
      <c r="G146" s="2"/>
      <c r="H146" s="2"/>
      <c r="I146" s="2"/>
      <c r="J146" s="2"/>
      <c r="K146" s="2"/>
      <c r="L146" s="13" t="s">
        <v>17</v>
      </c>
      <c r="M146" s="2" t="s">
        <v>224</v>
      </c>
      <c r="N146" s="2">
        <v>4.8</v>
      </c>
      <c r="O146" s="2">
        <v>14.8</v>
      </c>
      <c r="P146" s="2" t="s">
        <v>205</v>
      </c>
    </row>
    <row r="147" spans="1:16" ht="15" customHeight="1">
      <c r="A147" s="2">
        <v>72</v>
      </c>
      <c r="B147" s="2" t="s">
        <v>226</v>
      </c>
      <c r="C147" s="2">
        <v>-86.29</v>
      </c>
      <c r="D147" s="2">
        <v>37.81</v>
      </c>
      <c r="E147" s="2">
        <v>21834</v>
      </c>
      <c r="F147" s="2"/>
      <c r="G147" s="2"/>
      <c r="H147" s="2"/>
      <c r="I147" s="2"/>
      <c r="J147" s="2"/>
      <c r="K147" s="2"/>
      <c r="L147" s="13" t="s">
        <v>17</v>
      </c>
      <c r="M147" s="2" t="s">
        <v>224</v>
      </c>
      <c r="N147" s="2">
        <v>5.6</v>
      </c>
      <c r="O147" s="2">
        <v>5.3</v>
      </c>
      <c r="P147" s="2" t="s">
        <v>205</v>
      </c>
    </row>
    <row r="148" spans="1:16" ht="15" customHeight="1">
      <c r="A148" s="2">
        <v>69</v>
      </c>
      <c r="B148" s="2" t="s">
        <v>227</v>
      </c>
      <c r="C148" s="2">
        <v>-85.61</v>
      </c>
      <c r="D148" s="2">
        <v>38.31</v>
      </c>
      <c r="E148" s="2">
        <v>12406</v>
      </c>
      <c r="F148" s="2"/>
      <c r="G148" s="2"/>
      <c r="H148" s="2"/>
      <c r="I148" s="2"/>
      <c r="J148" s="2"/>
      <c r="K148" s="2"/>
      <c r="L148" s="13" t="s">
        <v>17</v>
      </c>
      <c r="M148" s="2" t="s">
        <v>224</v>
      </c>
      <c r="N148" s="2">
        <v>6.3</v>
      </c>
      <c r="O148" s="2">
        <v>15</v>
      </c>
      <c r="P148" s="2" t="s">
        <v>205</v>
      </c>
    </row>
    <row r="149" spans="1:16" ht="15" customHeight="1">
      <c r="A149" s="2">
        <v>64</v>
      </c>
      <c r="B149" s="2" t="s">
        <v>228</v>
      </c>
      <c r="C149" s="2">
        <v>-85.56</v>
      </c>
      <c r="D149" s="2">
        <v>38.270000000000003</v>
      </c>
      <c r="E149" s="2">
        <v>16987</v>
      </c>
      <c r="F149" s="2"/>
      <c r="G149" s="2"/>
      <c r="H149" s="2"/>
      <c r="I149" s="2"/>
      <c r="J149" s="2"/>
      <c r="K149" s="2"/>
      <c r="L149" s="13" t="s">
        <v>17</v>
      </c>
      <c r="M149" s="2" t="s">
        <v>224</v>
      </c>
      <c r="N149" s="2">
        <v>5.9</v>
      </c>
      <c r="O149" s="2">
        <v>3.1</v>
      </c>
      <c r="P149" s="2" t="s">
        <v>205</v>
      </c>
    </row>
    <row r="150" spans="1:16" ht="15" customHeight="1">
      <c r="A150" s="2">
        <v>63</v>
      </c>
      <c r="B150" s="2" t="s">
        <v>229</v>
      </c>
      <c r="C150" s="2">
        <v>-85.56</v>
      </c>
      <c r="D150" s="2">
        <v>38.200000000000003</v>
      </c>
      <c r="E150" s="2">
        <v>6150</v>
      </c>
      <c r="F150" s="2"/>
      <c r="G150" s="2"/>
      <c r="H150" s="2"/>
      <c r="I150" s="2"/>
      <c r="J150" s="2"/>
      <c r="K150" s="2"/>
      <c r="L150" s="13" t="s">
        <v>17</v>
      </c>
      <c r="M150" s="2" t="s">
        <v>224</v>
      </c>
      <c r="N150" s="2">
        <v>3.6</v>
      </c>
      <c r="O150" s="2">
        <v>4.3</v>
      </c>
      <c r="P150" s="2" t="s">
        <v>205</v>
      </c>
    </row>
    <row r="151" spans="1:16" ht="15" customHeight="1">
      <c r="A151" s="2">
        <v>102</v>
      </c>
      <c r="B151" s="2" t="s">
        <v>230</v>
      </c>
      <c r="C151" s="2">
        <v>-96.58</v>
      </c>
      <c r="D151" s="2">
        <v>39.08</v>
      </c>
      <c r="E151" s="2">
        <v>19700</v>
      </c>
      <c r="F151" s="2">
        <v>16779.599999999999</v>
      </c>
      <c r="G151" s="2">
        <v>3065.7</v>
      </c>
      <c r="H151" s="2">
        <v>449.4</v>
      </c>
      <c r="I151" s="2">
        <v>1585.4</v>
      </c>
      <c r="J151" s="2">
        <v>4400</v>
      </c>
      <c r="K151" s="2"/>
      <c r="L151" s="13" t="s">
        <v>17</v>
      </c>
      <c r="M151" s="2" t="s">
        <v>231</v>
      </c>
      <c r="N151" s="2">
        <v>1.6</v>
      </c>
      <c r="O151" s="2" t="s">
        <v>232</v>
      </c>
      <c r="P151" s="2" t="s">
        <v>233</v>
      </c>
    </row>
    <row r="152" spans="1:16" ht="15" customHeight="1">
      <c r="A152" s="2">
        <v>152</v>
      </c>
      <c r="B152" s="2" t="s">
        <v>234</v>
      </c>
      <c r="C152" s="2">
        <v>-80.832999999999998</v>
      </c>
      <c r="D152" s="2">
        <v>34.015999999999998</v>
      </c>
      <c r="E152" s="2">
        <v>4106</v>
      </c>
      <c r="F152" s="2"/>
      <c r="G152" s="2"/>
      <c r="H152" s="2"/>
      <c r="I152" s="2"/>
      <c r="J152" s="2"/>
      <c r="K152" s="2"/>
      <c r="L152" s="13" t="s">
        <v>20</v>
      </c>
      <c r="M152" t="s">
        <v>235</v>
      </c>
      <c r="N152" s="2"/>
      <c r="O152" s="2"/>
      <c r="P152" s="2" t="s">
        <v>236</v>
      </c>
    </row>
    <row r="153" spans="1:16" ht="15" customHeight="1">
      <c r="A153" s="2">
        <v>153</v>
      </c>
      <c r="B153" s="2" t="s">
        <v>237</v>
      </c>
      <c r="C153" s="2">
        <v>-80.828999999999994</v>
      </c>
      <c r="D153" s="2">
        <v>33.972999999999999</v>
      </c>
      <c r="E153" s="2">
        <v>3093</v>
      </c>
      <c r="F153" s="2"/>
      <c r="G153" s="2"/>
      <c r="H153" s="2"/>
      <c r="I153" s="2"/>
      <c r="J153" s="2"/>
      <c r="K153" s="2"/>
      <c r="L153" s="13" t="s">
        <v>20</v>
      </c>
      <c r="M153" t="s">
        <v>235</v>
      </c>
      <c r="N153" s="2"/>
      <c r="O153" s="2"/>
      <c r="P153" s="2" t="s">
        <v>81</v>
      </c>
    </row>
    <row r="154" spans="1:16" ht="15" customHeight="1">
      <c r="A154" s="2">
        <v>154</v>
      </c>
      <c r="B154" s="2" t="s">
        <v>238</v>
      </c>
      <c r="C154" s="2">
        <v>-80.822999999999993</v>
      </c>
      <c r="D154" s="2">
        <v>33.941000000000003</v>
      </c>
      <c r="E154" s="2">
        <v>1962</v>
      </c>
      <c r="F154" s="2"/>
      <c r="G154" s="2"/>
      <c r="H154" s="2"/>
      <c r="I154" s="2"/>
      <c r="J154" s="2"/>
      <c r="K154" s="2"/>
      <c r="L154" s="13" t="s">
        <v>20</v>
      </c>
      <c r="M154" t="s">
        <v>235</v>
      </c>
      <c r="N154" s="2"/>
      <c r="O154" s="2"/>
      <c r="P154" s="2" t="s">
        <v>81</v>
      </c>
    </row>
    <row r="155" spans="1:16" ht="15" customHeight="1">
      <c r="A155" s="2">
        <v>220</v>
      </c>
      <c r="B155" s="2" t="s">
        <v>239</v>
      </c>
      <c r="C155" s="2">
        <v>-1.35</v>
      </c>
      <c r="D155" s="2">
        <v>51.424999999999997</v>
      </c>
      <c r="E155" s="2">
        <v>64.989999999999995</v>
      </c>
      <c r="F155" s="2">
        <v>31.86</v>
      </c>
      <c r="G155" s="2">
        <v>2.2999999999999998</v>
      </c>
      <c r="H155" s="2">
        <v>6.0000000000000001E-3</v>
      </c>
      <c r="I155" s="2">
        <v>15.42</v>
      </c>
      <c r="J155" s="2">
        <v>0.98</v>
      </c>
      <c r="K155" s="2"/>
      <c r="L155" s="13" t="s">
        <v>80</v>
      </c>
      <c r="M155" s="2" t="s">
        <v>240</v>
      </c>
      <c r="N155" s="2">
        <v>4.5</v>
      </c>
      <c r="O155" s="2"/>
      <c r="P155" s="2" t="s">
        <v>81</v>
      </c>
    </row>
    <row r="156" spans="1:16" ht="15" customHeight="1">
      <c r="A156" s="2">
        <v>221</v>
      </c>
      <c r="B156" s="2" t="s">
        <v>241</v>
      </c>
      <c r="C156" s="2">
        <v>-1.35</v>
      </c>
      <c r="D156" s="2">
        <v>51.424999999999997</v>
      </c>
      <c r="E156" s="2">
        <v>22.55</v>
      </c>
      <c r="F156" s="2">
        <v>9.9499999999999993</v>
      </c>
      <c r="G156" s="2">
        <v>1.03</v>
      </c>
      <c r="H156" s="2">
        <v>0.83</v>
      </c>
      <c r="I156" s="2">
        <v>3.04</v>
      </c>
      <c r="J156" s="2">
        <v>0.36</v>
      </c>
      <c r="K156" s="2"/>
      <c r="L156" s="13" t="s">
        <v>80</v>
      </c>
      <c r="M156" s="2" t="s">
        <v>240</v>
      </c>
      <c r="N156" s="2">
        <v>4.5</v>
      </c>
      <c r="O156" s="2"/>
      <c r="P156" s="2" t="s">
        <v>242</v>
      </c>
    </row>
    <row r="157" spans="1:16" ht="15" customHeight="1">
      <c r="A157" s="2">
        <v>34</v>
      </c>
      <c r="B157" s="2" t="s">
        <v>243</v>
      </c>
      <c r="C157" s="2">
        <v>-72.510000000000005</v>
      </c>
      <c r="D157" s="2">
        <v>42.35</v>
      </c>
      <c r="E157" s="2">
        <v>3.32</v>
      </c>
      <c r="F157" s="2"/>
      <c r="G157" s="2"/>
      <c r="H157" s="2"/>
      <c r="I157" s="2"/>
      <c r="J157" s="2"/>
      <c r="K157" s="2"/>
      <c r="L157" s="13" t="s">
        <v>80</v>
      </c>
      <c r="M157" s="2"/>
      <c r="N157" s="2">
        <v>14</v>
      </c>
      <c r="O157" s="2">
        <v>105</v>
      </c>
      <c r="P157" s="2" t="s">
        <v>205</v>
      </c>
    </row>
    <row r="158" spans="1:16" ht="15" customHeight="1">
      <c r="A158" s="2">
        <v>129</v>
      </c>
      <c r="B158" s="2" t="s">
        <v>244</v>
      </c>
      <c r="C158" s="2">
        <v>-96.58</v>
      </c>
      <c r="D158" s="2">
        <v>39.08</v>
      </c>
      <c r="E158" s="2">
        <v>31864</v>
      </c>
      <c r="F158" s="2"/>
      <c r="G158" s="2"/>
      <c r="H158" s="2"/>
      <c r="I158" s="2"/>
      <c r="J158" s="2"/>
      <c r="K158" s="2"/>
      <c r="L158" s="13" t="s">
        <v>17</v>
      </c>
      <c r="M158" s="2" t="s">
        <v>245</v>
      </c>
      <c r="N158" s="2">
        <v>0.7</v>
      </c>
      <c r="O158" s="2">
        <v>0.55000000000000004</v>
      </c>
      <c r="P158" s="2" t="s">
        <v>211</v>
      </c>
    </row>
    <row r="159" spans="1:16" ht="15" customHeight="1">
      <c r="A159" s="2">
        <v>130</v>
      </c>
      <c r="B159" s="2" t="s">
        <v>246</v>
      </c>
      <c r="C159" s="2">
        <v>-96.58</v>
      </c>
      <c r="D159" s="2">
        <v>39.090000000000003</v>
      </c>
      <c r="E159" s="2">
        <v>9116</v>
      </c>
      <c r="F159" s="2"/>
      <c r="G159" s="2"/>
      <c r="H159" s="2"/>
      <c r="I159" s="2"/>
      <c r="J159" s="2"/>
      <c r="K159" s="2"/>
      <c r="L159" s="13" t="s">
        <v>17</v>
      </c>
      <c r="M159" s="2" t="s">
        <v>245</v>
      </c>
      <c r="N159" s="2">
        <v>0.9</v>
      </c>
      <c r="O159" s="2">
        <v>1.34</v>
      </c>
      <c r="P159" s="2" t="s">
        <v>211</v>
      </c>
    </row>
    <row r="160" spans="1:16" ht="15" customHeight="1">
      <c r="A160" s="2">
        <v>128</v>
      </c>
      <c r="B160" s="2" t="s">
        <v>247</v>
      </c>
      <c r="C160" s="2">
        <v>-96.61</v>
      </c>
      <c r="D160" s="2">
        <v>39.11</v>
      </c>
      <c r="E160" s="2">
        <v>17025</v>
      </c>
      <c r="F160" s="2"/>
      <c r="G160" s="2"/>
      <c r="H160" s="2"/>
      <c r="I160" s="2"/>
      <c r="J160" s="2"/>
      <c r="K160" s="2"/>
      <c r="L160" s="13" t="s">
        <v>17</v>
      </c>
      <c r="M160" s="2" t="s">
        <v>245</v>
      </c>
      <c r="N160" s="2">
        <v>1.6</v>
      </c>
      <c r="O160" s="2">
        <v>10.59</v>
      </c>
      <c r="P160" s="2" t="s">
        <v>211</v>
      </c>
    </row>
    <row r="161" spans="1:16" ht="14.45">
      <c r="A161" s="2">
        <v>179</v>
      </c>
      <c r="B161" s="2" t="s">
        <v>248</v>
      </c>
      <c r="C161">
        <v>-21.3</v>
      </c>
      <c r="D161">
        <v>64.05</v>
      </c>
      <c r="E161">
        <v>2472</v>
      </c>
      <c r="L161" s="12" t="s">
        <v>20</v>
      </c>
      <c r="M161" t="s">
        <v>249</v>
      </c>
      <c r="P161" t="s">
        <v>250</v>
      </c>
    </row>
    <row r="162" spans="1:16" ht="14.45">
      <c r="A162" s="2">
        <v>180</v>
      </c>
      <c r="B162" s="2" t="s">
        <v>251</v>
      </c>
      <c r="C162">
        <v>-21.3</v>
      </c>
      <c r="D162">
        <v>64.05</v>
      </c>
      <c r="E162">
        <v>4680</v>
      </c>
      <c r="L162" s="12" t="s">
        <v>20</v>
      </c>
      <c r="M162" t="s">
        <v>252</v>
      </c>
      <c r="P162" t="s">
        <v>250</v>
      </c>
    </row>
    <row r="163" spans="1:16" ht="14.45">
      <c r="A163" s="2">
        <v>181</v>
      </c>
      <c r="B163" s="2" t="s">
        <v>253</v>
      </c>
      <c r="C163">
        <v>-21.3</v>
      </c>
      <c r="D163">
        <v>64.05</v>
      </c>
      <c r="E163">
        <v>2280</v>
      </c>
      <c r="L163" s="12" t="s">
        <v>20</v>
      </c>
      <c r="M163" t="s">
        <v>252</v>
      </c>
      <c r="P163" t="s">
        <v>250</v>
      </c>
    </row>
    <row r="164" spans="1:16" ht="14.45">
      <c r="A164" s="2">
        <v>182</v>
      </c>
      <c r="B164" s="2" t="s">
        <v>254</v>
      </c>
      <c r="C164">
        <v>-21.3</v>
      </c>
      <c r="D164">
        <v>64.05</v>
      </c>
      <c r="E164">
        <v>13817</v>
      </c>
      <c r="L164" s="12" t="s">
        <v>20</v>
      </c>
      <c r="M164" t="s">
        <v>252</v>
      </c>
      <c r="P164" t="s">
        <v>250</v>
      </c>
    </row>
    <row r="165" spans="1:16" ht="14.45">
      <c r="A165" s="2">
        <v>183</v>
      </c>
      <c r="B165" s="2" t="s">
        <v>255</v>
      </c>
      <c r="C165">
        <v>-21.3</v>
      </c>
      <c r="D165">
        <v>64.05</v>
      </c>
      <c r="E165">
        <v>16908</v>
      </c>
      <c r="L165" s="12" t="s">
        <v>20</v>
      </c>
      <c r="M165" t="s">
        <v>252</v>
      </c>
      <c r="P165" t="s">
        <v>250</v>
      </c>
    </row>
    <row r="166" spans="1:16" ht="14.45">
      <c r="A166" s="2">
        <v>184</v>
      </c>
      <c r="B166" s="2" t="s">
        <v>256</v>
      </c>
      <c r="C166">
        <v>-21.3</v>
      </c>
      <c r="D166">
        <v>64.05</v>
      </c>
      <c r="E166">
        <v>29526</v>
      </c>
      <c r="L166" s="12" t="s">
        <v>20</v>
      </c>
      <c r="M166" t="s">
        <v>252</v>
      </c>
      <c r="P166" t="s">
        <v>250</v>
      </c>
    </row>
    <row r="167" spans="1:16" ht="14.45">
      <c r="A167" s="2">
        <v>133</v>
      </c>
      <c r="B167" s="2" t="s">
        <v>257</v>
      </c>
      <c r="C167">
        <v>-82.507999999999996</v>
      </c>
      <c r="D167">
        <v>42.673999999999999</v>
      </c>
      <c r="E167">
        <v>7.4</v>
      </c>
      <c r="L167" s="12" t="s">
        <v>62</v>
      </c>
      <c r="M167" t="s">
        <v>258</v>
      </c>
      <c r="N167">
        <v>250</v>
      </c>
      <c r="O167">
        <v>579000</v>
      </c>
      <c r="P167" t="s">
        <v>178</v>
      </c>
    </row>
    <row r="168" spans="1:16" ht="14.45">
      <c r="A168" s="2">
        <v>134</v>
      </c>
      <c r="B168" s="2" t="s">
        <v>259</v>
      </c>
      <c r="C168">
        <v>-83.084000000000003</v>
      </c>
      <c r="D168">
        <v>42.307000000000002</v>
      </c>
      <c r="E168">
        <v>5.4</v>
      </c>
      <c r="L168" s="12" t="s">
        <v>62</v>
      </c>
      <c r="M168" t="s">
        <v>260</v>
      </c>
      <c r="N168">
        <v>3000</v>
      </c>
      <c r="O168">
        <v>598000</v>
      </c>
      <c r="P168" t="s">
        <v>178</v>
      </c>
    </row>
    <row r="169" spans="1:16" ht="14.45">
      <c r="A169" s="2">
        <v>135</v>
      </c>
      <c r="B169" s="2" t="s">
        <v>261</v>
      </c>
      <c r="C169">
        <v>-75.888999999999996</v>
      </c>
      <c r="D169">
        <v>44.366</v>
      </c>
      <c r="E169">
        <v>13.4</v>
      </c>
      <c r="L169" s="12" t="s">
        <v>62</v>
      </c>
      <c r="O169">
        <v>766000</v>
      </c>
      <c r="P169" t="s">
        <v>178</v>
      </c>
    </row>
    <row r="170" spans="1:16" ht="14.45">
      <c r="A170" s="2">
        <v>91</v>
      </c>
      <c r="B170" s="2" t="s">
        <v>262</v>
      </c>
      <c r="C170">
        <v>-105.08</v>
      </c>
      <c r="D170">
        <v>40.590000000000003</v>
      </c>
      <c r="E170">
        <v>26012</v>
      </c>
      <c r="L170" s="12" t="s">
        <v>17</v>
      </c>
      <c r="P170" t="s">
        <v>211</v>
      </c>
    </row>
    <row r="171" spans="1:16" ht="14.45">
      <c r="A171" s="2">
        <v>92</v>
      </c>
      <c r="B171" s="2" t="s">
        <v>263</v>
      </c>
      <c r="C171">
        <v>-105.05</v>
      </c>
      <c r="D171">
        <v>40.58</v>
      </c>
      <c r="E171">
        <v>61693</v>
      </c>
      <c r="L171" s="12" t="s">
        <v>17</v>
      </c>
      <c r="P171" t="s">
        <v>211</v>
      </c>
    </row>
    <row r="172" spans="1:16" ht="14.45">
      <c r="A172" s="2">
        <v>93</v>
      </c>
      <c r="B172" s="2" t="s">
        <v>264</v>
      </c>
      <c r="C172">
        <v>-105.03</v>
      </c>
      <c r="D172">
        <v>40.57</v>
      </c>
      <c r="E172">
        <v>50939</v>
      </c>
      <c r="L172" s="12" t="s">
        <v>17</v>
      </c>
      <c r="P172" t="s">
        <v>211</v>
      </c>
    </row>
    <row r="173" spans="1:16" ht="15" customHeight="1">
      <c r="A173">
        <v>1</v>
      </c>
      <c r="B173" t="s">
        <v>265</v>
      </c>
      <c r="C173">
        <v>-81.86</v>
      </c>
      <c r="D173">
        <v>31.13</v>
      </c>
      <c r="E173">
        <v>15660</v>
      </c>
      <c r="F173">
        <v>12766</v>
      </c>
      <c r="G173">
        <v>54</v>
      </c>
      <c r="H173">
        <v>44</v>
      </c>
      <c r="I173">
        <v>1180</v>
      </c>
      <c r="J173">
        <v>9072</v>
      </c>
      <c r="L173" t="s">
        <v>20</v>
      </c>
      <c r="M173" t="s">
        <v>266</v>
      </c>
      <c r="N173">
        <v>70</v>
      </c>
      <c r="P173" t="s">
        <v>267</v>
      </c>
    </row>
    <row r="174" spans="1:16" ht="15" customHeight="1">
      <c r="A174">
        <v>2</v>
      </c>
      <c r="B174" t="s">
        <v>268</v>
      </c>
      <c r="C174">
        <v>-82.36</v>
      </c>
      <c r="D174">
        <v>31.28</v>
      </c>
      <c r="E174">
        <v>30489</v>
      </c>
      <c r="F174">
        <v>28327</v>
      </c>
      <c r="G174">
        <v>36</v>
      </c>
      <c r="H174">
        <v>60</v>
      </c>
      <c r="I174">
        <v>738</v>
      </c>
      <c r="J174">
        <v>22144</v>
      </c>
      <c r="L174" t="s">
        <v>20</v>
      </c>
      <c r="M174" t="s">
        <v>266</v>
      </c>
      <c r="N174">
        <v>50</v>
      </c>
      <c r="P174" t="s">
        <v>267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0B359-DDAC-4423-9C1C-8BD6D3F614C1}">
  <dimension ref="A1:A15"/>
  <sheetViews>
    <sheetView workbookViewId="0">
      <selection activeCell="C24" sqref="C24"/>
    </sheetView>
  </sheetViews>
  <sheetFormatPr defaultRowHeight="14.45"/>
  <sheetData>
    <row r="1" spans="1:1">
      <c r="A1" t="s">
        <v>269</v>
      </c>
    </row>
    <row r="2" spans="1:1">
      <c r="A2" t="s">
        <v>270</v>
      </c>
    </row>
    <row r="3" spans="1:1">
      <c r="A3" t="s">
        <v>271</v>
      </c>
    </row>
    <row r="4" spans="1:1">
      <c r="A4" t="s">
        <v>272</v>
      </c>
    </row>
    <row r="5" spans="1:1">
      <c r="A5" t="s">
        <v>273</v>
      </c>
    </row>
    <row r="6" spans="1:1">
      <c r="A6" t="s">
        <v>274</v>
      </c>
    </row>
    <row r="7" spans="1:1">
      <c r="A7" t="s">
        <v>275</v>
      </c>
    </row>
    <row r="8" spans="1:1">
      <c r="A8" t="s">
        <v>276</v>
      </c>
    </row>
    <row r="9" spans="1:1">
      <c r="A9" t="s">
        <v>277</v>
      </c>
    </row>
    <row r="10" spans="1:1">
      <c r="A10" t="s">
        <v>278</v>
      </c>
    </row>
    <row r="11" spans="1:1">
      <c r="A11" t="s">
        <v>279</v>
      </c>
    </row>
    <row r="12" spans="1:1">
      <c r="A12" t="s">
        <v>280</v>
      </c>
    </row>
    <row r="13" spans="1:1">
      <c r="A13" t="s">
        <v>281</v>
      </c>
    </row>
    <row r="14" spans="1:1">
      <c r="A14" t="s">
        <v>282</v>
      </c>
    </row>
    <row r="15" spans="1:1">
      <c r="A15" t="s">
        <v>283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A876AF305721488DA47DBFD2ACFB17" ma:contentTypeVersion="11" ma:contentTypeDescription="Create a new document." ma:contentTypeScope="" ma:versionID="bb2c9507deb23dddadc3a7a145e1d328">
  <xsd:schema xmlns:xsd="http://www.w3.org/2001/XMLSchema" xmlns:xs="http://www.w3.org/2001/XMLSchema" xmlns:p="http://schemas.microsoft.com/office/2006/metadata/properties" xmlns:ns1="http://schemas.microsoft.com/sharepoint/v3" xmlns:ns2="613700a6-52d8-45ba-99cf-babbe92a0eb2" targetNamespace="http://schemas.microsoft.com/office/2006/metadata/properties" ma:root="true" ma:fieldsID="e2cb7a7579ea1114cd5d791bf8e98040" ns1:_="" ns2:_="">
    <xsd:import namespace="http://schemas.microsoft.com/sharepoint/v3"/>
    <xsd:import namespace="613700a6-52d8-45ba-99cf-babbe92a0e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Not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700a6-52d8-45ba-99cf-babbe92a0e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otes" ma:index="11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613700a6-52d8-45ba-99cf-babbe92a0eb2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A634CD8-3C3D-45DC-A2F8-29F07E681EBC}"/>
</file>

<file path=customXml/itemProps2.xml><?xml version="1.0" encoding="utf-8"?>
<ds:datastoreItem xmlns:ds="http://schemas.openxmlformats.org/officeDocument/2006/customXml" ds:itemID="{433308D7-B8A0-4DFF-87B9-574B6AB1AD1D}"/>
</file>

<file path=customXml/itemProps3.xml><?xml version="1.0" encoding="utf-8"?>
<ds:datastoreItem xmlns:ds="http://schemas.openxmlformats.org/officeDocument/2006/customXml" ds:itemID="{3804759A-0ED2-4AEA-AA96-D7D03485E0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2023-11-07T13:49:45Z</dcterms:created>
  <dcterms:modified xsi:type="dcterms:W3CDTF">2024-02-26T20:06:50Z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0x010100FEA876AF305721488DA47DBFD2ACFB17</vt:lpwstr>
  </property>
</Properties>
</file>