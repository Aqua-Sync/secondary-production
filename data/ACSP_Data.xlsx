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0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iva365.sharepoint.com/sites/int_AquaSYNC-SWG002-StefanoLarsenchair/Shared Documents/SWG002 - Stefano Larsen (chair)/Data/ACSP/"/>
    </mc:Choice>
  </mc:AlternateContent>
  <xr:revisionPtr revIDLastSave="0" documentId="8_{8D37C862-DF13-40B4-B462-F5D9F237F8F7}" xr6:coauthVersionLast="47" xr6:coauthVersionMax="47" xr10:uidLastSave="{00000000-0000-0000-0000-000000000000}"/>
  <bookViews>
    <workbookView xWindow="9600" yWindow="0" windowWidth="9600" windowHeight="10200" xr2:uid="{00000000-000D-0000-FFFF-FFFF00000000}"/>
  </bookViews>
  <sheets>
    <sheet name="Data" sheetId="1" r:id="rId1"/>
    <sheet name="EP ratios" sheetId="3" r:id="rId2"/>
    <sheet name="ColumnNames" sheetId="2" r:id="rId3"/>
    <sheet name="Sheet1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5" i="1" l="1"/>
  <c r="J245" i="1"/>
  <c r="F245" i="1"/>
  <c r="F244" i="1"/>
  <c r="E245" i="1"/>
  <c r="K244" i="1"/>
  <c r="J244" i="1"/>
  <c r="E244" i="1"/>
  <c r="G190" i="1"/>
  <c r="I190" i="1"/>
  <c r="J190" i="1"/>
  <c r="G191" i="1"/>
  <c r="I191" i="1"/>
  <c r="J191" i="1"/>
  <c r="E209" i="1"/>
  <c r="E21" i="1"/>
  <c r="E20" i="1"/>
  <c r="E19" i="1"/>
  <c r="E18" i="1"/>
  <c r="E17" i="1"/>
  <c r="E16" i="1"/>
  <c r="A2" i="3"/>
  <c r="A3" i="3"/>
  <c r="A4" i="3"/>
  <c r="A5" i="3"/>
  <c r="A6" i="3"/>
  <c r="A7" i="3"/>
  <c r="A8" i="3"/>
  <c r="A9" i="3"/>
  <c r="A10" i="3"/>
  <c r="A11" i="3"/>
  <c r="A12" i="3"/>
  <c r="A14" i="3"/>
  <c r="A16" i="3"/>
  <c r="A17" i="3"/>
  <c r="A18" i="3"/>
  <c r="A19" i="3"/>
  <c r="A20" i="3"/>
  <c r="A21" i="3"/>
  <c r="B22" i="3"/>
  <c r="C22" i="3"/>
  <c r="B23" i="3"/>
  <c r="C23" i="3"/>
  <c r="O225" i="1"/>
  <c r="O226" i="1"/>
  <c r="O224" i="1"/>
  <c r="O223" i="1"/>
  <c r="O222" i="1"/>
  <c r="O221" i="1"/>
  <c r="E225" i="1"/>
  <c r="J225" i="1" s="1"/>
  <c r="F225" i="1" s="1"/>
  <c r="E226" i="1"/>
  <c r="J226" i="1" s="1"/>
  <c r="F226" i="1" s="1"/>
  <c r="E224" i="1"/>
  <c r="J224" i="1" s="1"/>
  <c r="F224" i="1" s="1"/>
  <c r="E223" i="1"/>
  <c r="E222" i="1"/>
  <c r="E221" i="1"/>
  <c r="F89" i="1"/>
  <c r="E161" i="1"/>
  <c r="E160" i="1"/>
  <c r="E159" i="1"/>
  <c r="F219" i="1"/>
  <c r="K218" i="1"/>
  <c r="F218" i="1"/>
  <c r="F217" i="1"/>
  <c r="F216" i="1"/>
  <c r="F215" i="1"/>
  <c r="F214" i="1"/>
  <c r="K213" i="1"/>
  <c r="F213" i="1"/>
  <c r="F205" i="1"/>
  <c r="F204" i="1"/>
  <c r="K203" i="1"/>
  <c r="F203" i="1"/>
  <c r="F202" i="1"/>
  <c r="F201" i="1"/>
  <c r="F200" i="1"/>
  <c r="K199" i="1"/>
  <c r="F199" i="1"/>
  <c r="K198" i="1"/>
  <c r="F198" i="1"/>
  <c r="K197" i="1"/>
  <c r="F197" i="1"/>
  <c r="F196" i="1"/>
  <c r="F195" i="1"/>
  <c r="F194" i="1"/>
  <c r="F193" i="1"/>
  <c r="F192" i="1"/>
  <c r="F189" i="1"/>
  <c r="E189" i="1"/>
  <c r="E181" i="1"/>
  <c r="E180" i="1"/>
  <c r="E178" i="1"/>
  <c r="K70" i="1"/>
  <c r="I70" i="1"/>
  <c r="H70" i="1"/>
  <c r="G70" i="1"/>
  <c r="J70" i="1"/>
  <c r="J69" i="1"/>
  <c r="K69" i="1"/>
  <c r="I69" i="1"/>
  <c r="H69" i="1"/>
  <c r="G69" i="1"/>
  <c r="F69" i="1" s="1"/>
  <c r="J131" i="1"/>
  <c r="I131" i="1"/>
  <c r="K132" i="1"/>
  <c r="J132" i="1"/>
  <c r="I132" i="1"/>
  <c r="G132" i="1"/>
  <c r="G131" i="1"/>
  <c r="G89" i="1"/>
  <c r="K154" i="1"/>
  <c r="K155" i="1"/>
  <c r="K156" i="1"/>
  <c r="K157" i="1"/>
  <c r="K158" i="1"/>
  <c r="K153" i="1"/>
  <c r="K50" i="1"/>
  <c r="I57" i="1"/>
  <c r="H57" i="1"/>
  <c r="F57" i="1" s="1"/>
  <c r="K56" i="1"/>
  <c r="H56" i="1"/>
  <c r="G56" i="1"/>
  <c r="F56" i="1" s="1"/>
  <c r="K55" i="1"/>
  <c r="I55" i="1"/>
  <c r="H55" i="1"/>
  <c r="K54" i="1"/>
  <c r="I54" i="1"/>
  <c r="H54" i="1"/>
  <c r="G54" i="1"/>
  <c r="K87" i="1"/>
  <c r="E170" i="1"/>
  <c r="E168" i="1"/>
  <c r="E169" i="1"/>
  <c r="E167" i="1"/>
  <c r="K52" i="1"/>
  <c r="K51" i="1"/>
  <c r="G88" i="1"/>
  <c r="F88" i="1"/>
  <c r="K221" i="1" l="1"/>
  <c r="G221" i="1"/>
  <c r="K222" i="1"/>
  <c r="I222" i="1"/>
  <c r="G222" i="1"/>
  <c r="J222" i="1"/>
  <c r="K223" i="1"/>
  <c r="I223" i="1"/>
  <c r="J223" i="1"/>
  <c r="F70" i="1"/>
  <c r="H221" i="1"/>
  <c r="I221" i="1"/>
  <c r="J221" i="1"/>
  <c r="A23" i="3"/>
  <c r="A22" i="3"/>
  <c r="A26" i="3"/>
  <c r="F55" i="1"/>
  <c r="F54" i="1"/>
  <c r="F223" i="1" l="1"/>
  <c r="F222" i="1"/>
  <c r="F221" i="1"/>
</calcChain>
</file>

<file path=xl/sharedStrings.xml><?xml version="1.0" encoding="utf-8"?>
<sst xmlns="http://schemas.openxmlformats.org/spreadsheetml/2006/main" count="892" uniqueCount="461">
  <si>
    <t>Index</t>
  </si>
  <si>
    <t>SiteID</t>
  </si>
  <si>
    <t>LON</t>
  </si>
  <si>
    <t>LAT</t>
  </si>
  <si>
    <t>ACSP</t>
  </si>
  <si>
    <t>AISP</t>
  </si>
  <si>
    <t>EphSP</t>
  </si>
  <si>
    <t>PleSP</t>
  </si>
  <si>
    <t>TriSP</t>
  </si>
  <si>
    <t>ChiSP</t>
  </si>
  <si>
    <t>otherSP</t>
  </si>
  <si>
    <t>Emerg</t>
  </si>
  <si>
    <t>Units</t>
  </si>
  <si>
    <t>Notes</t>
  </si>
  <si>
    <t>Stream width (m)</t>
  </si>
  <si>
    <t>Basin size (km2)</t>
  </si>
  <si>
    <t>figure_table</t>
  </si>
  <si>
    <t>Anderson_Rosemond_2007_BeaverPond</t>
  </si>
  <si>
    <t>mg AFDM m-2 yr-1</t>
  </si>
  <si>
    <t>Measures beaver impact.</t>
  </si>
  <si>
    <t>Anderson_Rosemond_2007_Downstream</t>
  </si>
  <si>
    <t>Anderson_Rosemond_2007_Forested</t>
  </si>
  <si>
    <t>Benke_EtAl_1984_SatillaRiver_Lower</t>
  </si>
  <si>
    <t>mg DM m-2 yr-1</t>
  </si>
  <si>
    <t>Applied habitat proportions from the text for snag:sand:mud habitat from pp50. Data are also available for Odonata, Coleoptera, and Oligochaeta. Width data probably an underestimate; likely excludes backwater "mud" habitat. Says basin size "more than double[s]" from upper to lower site.</t>
  </si>
  <si>
    <t>Tables 4, 5, 6, 7, 8, 9, 10, 12, 13, 14, 15</t>
  </si>
  <si>
    <t>Benke_EtAl_1984_SatillaRiver_Upper</t>
  </si>
  <si>
    <t>Carlisle_Clements_2003_HighZinc_Snake</t>
  </si>
  <si>
    <t>Carlisle_Clements_2003_IntermediateZinc_Mosquito</t>
  </si>
  <si>
    <t>Carlisle_Clements_2003_LowZinc_Buckskin</t>
  </si>
  <si>
    <t>Carlisle_Clements_2003_Reference1_EastFork</t>
  </si>
  <si>
    <t>Carlisle_Clements_2003_Reference2_FourMile</t>
  </si>
  <si>
    <t>Chadwick_Huryn_2005_EBB_Yr1</t>
  </si>
  <si>
    <t>Results paragraph, first sentence</t>
  </si>
  <si>
    <t>Chadwick_Huryn_2005_EBB_Yr2</t>
  </si>
  <si>
    <t>Chadwick_Huryn_2005_WBB_N_Yr1</t>
  </si>
  <si>
    <t>Chadwick_Huryn_2005_WBB_N_Yr2</t>
  </si>
  <si>
    <t>Chadwick_Huryn_2007_BB</t>
  </si>
  <si>
    <t>Taxa-specific results are given in appendix. But it is not clear if the values are habitat-weighted. Hence, they were not entered here.</t>
  </si>
  <si>
    <t>pg244, 3rd paragraph</t>
  </si>
  <si>
    <t>Chadwick_Huryn_2007_ED</t>
  </si>
  <si>
    <t>Chadwick_Huryn_2007_EU</t>
  </si>
  <si>
    <t>Chadwick_Huryn_2007_SWP</t>
  </si>
  <si>
    <t>Chadwick_Huryn_2007_WD</t>
  </si>
  <si>
    <t>Chadwick_Huryn_2007_WU</t>
  </si>
  <si>
    <t>Colon-Gaud_EtAl_2009_ElCope_Site1</t>
  </si>
  <si>
    <t>habitat weighted production (?)</t>
  </si>
  <si>
    <t>Web Appendix 1.</t>
  </si>
  <si>
    <t>Colon-Gaud_EtAl_2009_ElCope_Site2</t>
  </si>
  <si>
    <t>Colon-Gaud_EtAl_2009_Fortuna_Site1</t>
  </si>
  <si>
    <t>Colon-Gaud_EtAl_2009_Fortuna_Site2</t>
  </si>
  <si>
    <t>Cross_EtAl_2006_C53_Reference</t>
  </si>
  <si>
    <t>Just reference sites</t>
  </si>
  <si>
    <t>Cross_EtAl_2006_C54_NP_Enriched</t>
  </si>
  <si>
    <t>Cross_EtAl_2013_ColoradoRiver_Site2</t>
  </si>
  <si>
    <t>g AFDM m-2 yr-1</t>
  </si>
  <si>
    <t>Average of three sampled years</t>
  </si>
  <si>
    <t>Cross_EtAl_2013_ColoradoRiver_Site3</t>
  </si>
  <si>
    <t>Cross_EtAl_2013_ColoradoRiver_Site4</t>
  </si>
  <si>
    <t>Cross_EtAl_2013_ColoradoRiver_Site5</t>
  </si>
  <si>
    <t>Cross_EtAl_2013_ColoradoRiver_Site6</t>
  </si>
  <si>
    <t>Duffy_EtAl_1987_StMarysRiver_Michigan_MainChannel</t>
  </si>
  <si>
    <t>Could only find data from the lake</t>
  </si>
  <si>
    <t>Edwards_EtAl_1989_Detroit_MainChannel</t>
  </si>
  <si>
    <t>Width is probably an upper bound. Text states "The width of the SCDRS ranges from 250 m in the Upper St. Clair River to 3 000 m in the lower Detroit River."</t>
  </si>
  <si>
    <t>Table 3</t>
  </si>
  <si>
    <t>Edwards_EtAl_1989_StClaire_MainChannel</t>
  </si>
  <si>
    <t>Width is probably a lower bound. Text states "The width of the SCDRS ranges from 250 m in the Upper St. Clair River to 3 000 m in the lower Detroit River."</t>
  </si>
  <si>
    <t>Edwards_EtAl_1989_StLawrence_MainChannel</t>
  </si>
  <si>
    <t>Ely_Wallace_2010_BigHurricaneBranch_Disturbed</t>
  </si>
  <si>
    <t>Only lists total production and production by FFG. Coweeta LTER.</t>
  </si>
  <si>
    <t>59 ha</t>
  </si>
  <si>
    <t>Table 2</t>
  </si>
  <si>
    <t>Ely_Wallace_2010_HughWhiteCreek_Reference</t>
  </si>
  <si>
    <t>61 ha</t>
  </si>
  <si>
    <t>Entrekin_EtAl_2009_ShaneCreek_AfterWood_yr1</t>
  </si>
  <si>
    <t>Entrekin et al. (2007) J.N.Am.Benthol.Soc. has similar data. Did not include those to avoid redundancy.</t>
  </si>
  <si>
    <t>Figure 2</t>
  </si>
  <si>
    <t>Entrekin_EtAl_2009_ShaneCreek_AfterWood_yr2</t>
  </si>
  <si>
    <t>Entrekin_EtAl_2009_ShaneCreek_AfterWood_yr3</t>
  </si>
  <si>
    <t>Entrekin_EtAl_2009_StateCreek_AfterWood_yr1</t>
  </si>
  <si>
    <t>Entrekin_EtAl_2009_StateCreek_AfterWood_yr2</t>
  </si>
  <si>
    <t>Entrekin_EtAl_2009_StateCreek_AfterWood_yr3</t>
  </si>
  <si>
    <t>Entrekin_EtAl_2009_WaltonCreek_AfterWood_yr1</t>
  </si>
  <si>
    <t>Entrekin_EtAl_2009_WaltonCreek_AfterWood_yr2</t>
  </si>
  <si>
    <t>Entrekin_EtAl_2009_WaltonCreek_AfterWood_yr3</t>
  </si>
  <si>
    <t>Fisher_1977_FortRiver</t>
  </si>
  <si>
    <t>g DM m-2 yr-1</t>
  </si>
  <si>
    <t>Fisher_Gray_1983_SycamoreCreek</t>
  </si>
  <si>
    <t>Did not enter. The data are for collectors only. They do have a table with annual prod for total benthos from other studies. Need to check if we already include those studies, though.</t>
  </si>
  <si>
    <t>Gaines_EtAl_1992_DouglasCreek</t>
  </si>
  <si>
    <t>Values as dry mass (not ash free). Chironomus (not Chironomidae)</t>
  </si>
  <si>
    <t>Gaines_EtAl_1992_RattlesnakeSprings</t>
  </si>
  <si>
    <t>Gaines_EtAl_1992_SnivelySprings</t>
  </si>
  <si>
    <t>Georgian_Wallace_1983_LowerShopeFork</t>
  </si>
  <si>
    <t>Did not enter. the abstract says 1195 mg AFDM m2 y1, but that appears to be based only on the "top 6 most abundant" taxa. It's not clear what percentage of total mass that those top 6 taxa comprise. If they make up less than ~ 95%, then the total annual production is likely not reliable.</t>
  </si>
  <si>
    <t>Griffith_EtAl_1994_FernowExperimentalForest_WS3</t>
  </si>
  <si>
    <t>No chironomids</t>
  </si>
  <si>
    <t>Griffith_EtAl_1994_FernowExperimentalForest_WS4</t>
  </si>
  <si>
    <t>Griffith_EtAl_1994_NorthForkHickmanSlideRun</t>
  </si>
  <si>
    <t>Griffith_EtAl_1994_SouthForkRedRun</t>
  </si>
  <si>
    <t>Grubaugh_EtAl_1997_BallCreek1_M1</t>
  </si>
  <si>
    <t>table 7 has some taxonomic info in terms of relative contribution to production. But it only has the top 3 taxa. Columns only sum to ~85-95%. Hence, I did not try to estimate insect only production.</t>
  </si>
  <si>
    <t>table 8</t>
  </si>
  <si>
    <t>Grubaugh_EtAl_1997_BallCreek1_S1</t>
  </si>
  <si>
    <t>Grubaugh_EtAl_1997_BallCreek2_M2</t>
  </si>
  <si>
    <t>Grubaugh_EtAl_1997_BallCreek2_S2</t>
  </si>
  <si>
    <t>Grubaugh_EtAl_1997_BallCreek3_M3</t>
  </si>
  <si>
    <t>Grubaugh_EtAl_1997_BallCreek3_S3</t>
  </si>
  <si>
    <t>Grubaugh_EtAl_1997_CoweetaCreek_M4</t>
  </si>
  <si>
    <t>Grubaugh_EtAl_1997_CoweetaCreek_M5</t>
  </si>
  <si>
    <t>Grubaugh_EtAl_1997_LittleTennesseeRiver_R1</t>
  </si>
  <si>
    <t>Grubaugh_EtAl_1997_LittleTennesseeRiver_R2</t>
  </si>
  <si>
    <t>Grubaugh_EtAl_1997_LittleTennesseeRiver_R3</t>
  </si>
  <si>
    <t>Hall_EtAl_2001_BearBrook</t>
  </si>
  <si>
    <t>Hall_EtAl_2001_HubbardBrook</t>
  </si>
  <si>
    <t>Hall_EtAl_2006_FireholeRiver_Riffle</t>
  </si>
  <si>
    <t>Hall_EtAl_2006_FireholeRiver_Vegetated</t>
  </si>
  <si>
    <t>Hall_EtAl_2006_GibbonRiver</t>
  </si>
  <si>
    <t>Hall_EtAl_2006_PolecatCreek</t>
  </si>
  <si>
    <t>Hannesdottir_EtAl_2013_HengladalsaRiverTributary_SiteIS1</t>
  </si>
  <si>
    <t>Only lists coordinates for general study area. Data extracted from figure using WebPlot Digitizer (https://apps.automeris.io/wpd/)</t>
  </si>
  <si>
    <t>Fig 16</t>
  </si>
  <si>
    <t>Hannesdottir_EtAl_2013_HengladalsaRiverTributary_SiteIS11</t>
  </si>
  <si>
    <t>Only lists coordinates for general study area. Data extracted from figure using WebPlot Digitizer (https://apps.automeris.io/wpd/).</t>
  </si>
  <si>
    <t>Hannesdottir_EtAl_2013_HengladalsaRiverTributary_SiteIS5</t>
  </si>
  <si>
    <t>Hannesdottir_EtAl_2013_HengladalsaRiverTributary_SiteIS6</t>
  </si>
  <si>
    <t>Hannesdottir_EtAl_2013_HengladalsaRiverTributary_SiteIS7</t>
  </si>
  <si>
    <t>Hannesdottir_EtAl_2013_HengladalsaRiverTributary_SiteIS9</t>
  </si>
  <si>
    <t>Hopkins_1976_HinauStream_Main_OrgEnrich</t>
  </si>
  <si>
    <t>No Insect production reported</t>
  </si>
  <si>
    <t>Hopkins_1976_HinauStream_NorthBranch_Open</t>
  </si>
  <si>
    <t>Hopkins_1976_HinauStream_SouthBranch_Closed</t>
  </si>
  <si>
    <t>Hopkins_1976_HorokiwiStream_Bush_Shaded</t>
  </si>
  <si>
    <t>Hopkins_1976_HorokiwiStream_Gyton_Open</t>
  </si>
  <si>
    <t>Hopkins_1976_HorokiwiStream_Lower_Open</t>
  </si>
  <si>
    <t>Huryn_1996_SuttonStream</t>
  </si>
  <si>
    <t>My results in adding up the prod.values are different from those on the paper</t>
  </si>
  <si>
    <t>Iversen_1988_RoldKilde</t>
  </si>
  <si>
    <t>Double check values; paper reports inconsistent values and units?</t>
  </si>
  <si>
    <t>Jackson_Fisher_1986_SycamoreCreek</t>
  </si>
  <si>
    <t>Johnson_EtAl_2013_AshRun</t>
  </si>
  <si>
    <t>Chironomid values are actually nematoceran article; Paper derives benthic production from emergence; Data extracted from Figure 2 using https://apps.automeris.io/wpd/;</t>
  </si>
  <si>
    <t>Johnson_EtAl_2013_Beech</t>
  </si>
  <si>
    <t>Johnson_EtAl_2013_BucklesRun</t>
  </si>
  <si>
    <t>Johnson_EtAl_2013_ChenowethRun</t>
  </si>
  <si>
    <t>Backed out production from available data on 5 most dominant taxa, along with % these 5 taxa contribute to overall production. Results of this approach are robust upon verification and match Fig. 4.</t>
  </si>
  <si>
    <t>Johnson_EtAl_2013_GooseCreek</t>
  </si>
  <si>
    <t>Johnson_EtAl_2013_HardwayRun</t>
  </si>
  <si>
    <t>Johnson_EtAl_2013_HartsRun</t>
  </si>
  <si>
    <t>Johnson_EtAl_2013_JackRun</t>
  </si>
  <si>
    <t>Johnson_EtAl_2013_LaurelRun</t>
  </si>
  <si>
    <t>Johnson_EtAl_2013_LittleGooseCreek</t>
  </si>
  <si>
    <t>Johnson_EtAl_2013_Lost</t>
  </si>
  <si>
    <t>Johnson_EtAl_2013_NeilRun</t>
  </si>
  <si>
    <t>Johnson_EtAl_2013_PetersRun</t>
  </si>
  <si>
    <t>Johnson_EtAl_2013_SinkingCreek</t>
  </si>
  <si>
    <t>Johnson_EtAl_2013_SugarcampRun</t>
  </si>
  <si>
    <t>Johnson_EtAl_2013_WilsonCreek</t>
  </si>
  <si>
    <t>Junker_Cross_2014_WestBlacktailDeerCreek</t>
  </si>
  <si>
    <t xml:space="preserve">In Table 1, only insects are listed. There is an "other" category that has 77 mg AFDM m2 y1. That amount is included in the total here. in other words, I assumed that all community production = all insect production. </t>
  </si>
  <si>
    <t>Table 1</t>
  </si>
  <si>
    <t>Krueger_Waters_1983_BlackhoofRiver</t>
  </si>
  <si>
    <t>g wet mass m-2 yr-1</t>
  </si>
  <si>
    <t>wet mass</t>
  </si>
  <si>
    <t>Krueger_Waters_1983_CaribouRiver</t>
  </si>
  <si>
    <t>Krueger_Waters_1983_NorthBranchCreek</t>
  </si>
  <si>
    <t>Leland_EtAl_1986_ConvictCreek</t>
  </si>
  <si>
    <t>Lugthart_Wallace_1992_CoweetaCatchment53_Yr1</t>
  </si>
  <si>
    <t>Yr1: before pesticide</t>
  </si>
  <si>
    <t>Lugthart_Wallace_1992_CoweetaCatchment54_Yr1</t>
  </si>
  <si>
    <t>Yr2: after pesticide</t>
  </si>
  <si>
    <t>Lugthart_Wallace_1992_CoweetaCatchment54_Yr2</t>
  </si>
  <si>
    <t>Lugthart_Wallace_1992_CoweetaCatchment55_Yr1</t>
  </si>
  <si>
    <t>Lugthart_Wallace_1992_CoweetaCatchment55_Yr2</t>
  </si>
  <si>
    <t>McCutchan_Lewis_2002_Alpine_9495</t>
  </si>
  <si>
    <t xml:space="preserve">1994 to 1995: "Other taxa" in Appendix 1...not clear if that is only insects or not. It was left out </t>
  </si>
  <si>
    <t>Appendix Table 1/ Table 2</t>
  </si>
  <si>
    <t>McCutchan_Lewis_2002_Alpine_9596</t>
  </si>
  <si>
    <t xml:space="preserve">1995 to 1996: "Other taxa" in Appendix 1...not clear if that is only insects or not. It was left out </t>
  </si>
  <si>
    <t>McCutchan_Lewis_2002_Foothills_9495</t>
  </si>
  <si>
    <t>McCutchan_Lewis_2002_Foothills_9596</t>
  </si>
  <si>
    <t>McCutchan_Lewis_2002_Montane_9495</t>
  </si>
  <si>
    <t>McCutchan_Lewis_2002_Montane_9596</t>
  </si>
  <si>
    <t>McCutchan_Lewis_2002_Subalpine_9495</t>
  </si>
  <si>
    <t>McCutchan_Lewis_2002_Subalpine_9596</t>
  </si>
  <si>
    <t>Miller_1985_Site1</t>
  </si>
  <si>
    <t>From article: "Production estimates obtained by multiplying an assumed annual turnover ratio by average standing biomass are indicated by (t). All others were calculated using the size-frequency method."</t>
  </si>
  <si>
    <t>Tables 2,3,4,5</t>
  </si>
  <si>
    <t>Miller_1985_Site2</t>
  </si>
  <si>
    <t>Miller_1985_Site3</t>
  </si>
  <si>
    <t>Miller_1985_Site4</t>
  </si>
  <si>
    <t>Miller_1985_SitePB</t>
  </si>
  <si>
    <t>Mortensen_Simonsen_1983_BisballeBaek</t>
  </si>
  <si>
    <t>g AFDM m-2</t>
  </si>
  <si>
    <t>mean annual standing stock (not production, despite the title)</t>
  </si>
  <si>
    <t>Neves_1979_FactoryBrook</t>
  </si>
  <si>
    <t>Cant access the pdf</t>
  </si>
  <si>
    <t>Ramirez_Pringle_1998_Sabalo</t>
  </si>
  <si>
    <r>
      <rPr>
        <i/>
        <sz val="11"/>
        <color rgb="FF000000"/>
        <rFont val="Calibri"/>
        <scheme val="minor"/>
      </rPr>
      <t>Size-Freq method</t>
    </r>
    <r>
      <rPr>
        <sz val="11"/>
        <color rgb="FF000000"/>
        <rFont val="Calibri"/>
        <scheme val="minor"/>
      </rPr>
      <t>. Habitat-weighted. Tropical. Only 8 taxa with prod (20% of insect biomass)</t>
    </r>
  </si>
  <si>
    <r>
      <rPr>
        <i/>
        <sz val="11"/>
        <color rgb="FF000000"/>
        <rFont val="Calibri"/>
        <scheme val="minor"/>
      </rPr>
      <t>Benke model method</t>
    </r>
    <r>
      <rPr>
        <sz val="11"/>
        <color rgb="FF000000"/>
        <rFont val="Calibri"/>
        <scheme val="minor"/>
      </rPr>
      <t>. Mean Riffle + Pool</t>
    </r>
  </si>
  <si>
    <t>Total AISP combining both methods above.</t>
  </si>
  <si>
    <t>Robinson_Minshall_1998_BirchCreek</t>
  </si>
  <si>
    <t>Lists width as 8-12 m. otherSp is only Coleoptera. Only insects were considered in this study.</t>
  </si>
  <si>
    <t>Robinson_Minshall_1998_LittleLostRiver</t>
  </si>
  <si>
    <t>Lists width as 5-10 m. otherSp is only Coleoptera. Only insects were considered in this study.</t>
  </si>
  <si>
    <t>Shieh_EtAl_2002_CacheLaPoudreRiver_Site1</t>
  </si>
  <si>
    <t>Table 4</t>
  </si>
  <si>
    <t>Shieh_EtAl_2002_CacheLaPoudreRiver_Site2</t>
  </si>
  <si>
    <t>Shieh_EtAl_2002_CacheLaPoudreRiver_Site3</t>
  </si>
  <si>
    <t>Shieh_EtAl_2003_CacheLaPoudreRiver_Site4</t>
  </si>
  <si>
    <t>Specific taxon production is available in Table 3 but only for "first three dominant taxa", and listed only by percentage of total production and thus can't be used. Data also available for Sites 1-3, but these correspond well with data from Shieh et al. 2002 also in this dataset, so not duplicated here. Data extracted from figure using WebPlot Digitizer (https://apps.automeris.io/wpd/).</t>
  </si>
  <si>
    <t>Fig 1</t>
  </si>
  <si>
    <t>Shieh_EtAl_2003_CacheLaPoudreRiver_Site5</t>
  </si>
  <si>
    <t>Shieh_EtAl_2003_CacheLaPoudreRiver_Site6</t>
  </si>
  <si>
    <t>Smock_EtAl_1985_CedarCreek_Downstream</t>
  </si>
  <si>
    <t>Specific taxon production is available in Table 2 but only for "major taxa" only, which are ~half or less of total production and thus can't be used..</t>
  </si>
  <si>
    <t>Table 5</t>
  </si>
  <si>
    <t>Smock_EtAl_1985_CedarCreek_Swamp</t>
  </si>
  <si>
    <t>Smock_EtAl_1985_CedarCreek_Upstream</t>
  </si>
  <si>
    <t>Table</t>
  </si>
  <si>
    <t>Smock_EtAl_1992_BuzzardsBranch</t>
  </si>
  <si>
    <t>Specific taxon production is available in Table 1 but broken up by small habitat sub portions in a way that can't be used here. Only used data from in channel, on surface (not floodplain nor hyporheic).</t>
  </si>
  <si>
    <t>Fig 4</t>
  </si>
  <si>
    <t>Smock_EtAl_1992_ColliersCreek</t>
  </si>
  <si>
    <t>Fig 5</t>
  </si>
  <si>
    <t>Stagliano_Whiles_2002_KingsCreek</t>
  </si>
  <si>
    <t>Also includes Coleoptera, Megaloptera, and Odonata data, in addition to many non-insect groups. Chironomidae from summing subfamilies in Tables 4, 5.</t>
  </si>
  <si>
    <t>134 ha</t>
  </si>
  <si>
    <t>Tables 3, 4, 5</t>
  </si>
  <si>
    <t>Stead_EtAl_2005_LoneOak</t>
  </si>
  <si>
    <t>Dry Weight</t>
  </si>
  <si>
    <t>Stone_Wallace_1998_BigHurricaneBranch_CatchC7</t>
  </si>
  <si>
    <t>Coweeta LTER. FFG by habitat and overall as well, but cannot parse species or order information from this. Assuming column names in table are in error ("Disturbed: Reference" should be "Disturbed: Depositional" and "Habitat-weighted: Depositional" should be "Habitat-weighted: Disturbed".</t>
  </si>
  <si>
    <t>59.5 ha</t>
  </si>
  <si>
    <t>Stone_Wallace_1998_HughWhiteCreek_CatchC14</t>
  </si>
  <si>
    <t>61.1 ha</t>
  </si>
  <si>
    <t>Tod_SchmidAraya_2009_Rover_Lambourn_Gravel</t>
  </si>
  <si>
    <t>Lists width as 3-6 m.</t>
  </si>
  <si>
    <t>Tables 1, 2</t>
  </si>
  <si>
    <t>Tod_SchmidAraya_2009_Rover_Lambourn_Macrophyte</t>
  </si>
  <si>
    <t>Vandermyde_Whiles_2015_K02A_Closed</t>
  </si>
  <si>
    <t>Vandermyde_Whiles_2015_K02A_Open</t>
  </si>
  <si>
    <t>Vandermyde_Whiles_2015_K02A_Removal</t>
  </si>
  <si>
    <t>Vandermyde_Whiles_2015_N04D_Closed</t>
  </si>
  <si>
    <t>Vandermyde_Whiles_2015_N04D_Open</t>
  </si>
  <si>
    <t>Vandermyde_Whiles_2015_N04D_Removal</t>
  </si>
  <si>
    <t>Venarsky_EtAl_2014_Hering</t>
  </si>
  <si>
    <t>Cave System. Added crayfish production (table 2) to non-crayfish macroinvertebrate production (table 4)</t>
  </si>
  <si>
    <t>Tables 2, 4</t>
  </si>
  <si>
    <t>Venarsky_EtAl_2014_Limrock</t>
  </si>
  <si>
    <t>Venarsky_EtAl_2014_TonySinks</t>
  </si>
  <si>
    <t>Voshell_1985_NewRiver</t>
  </si>
  <si>
    <t>Not able to find report</t>
  </si>
  <si>
    <t>Wallace_EtAl_1995_DDP</t>
  </si>
  <si>
    <t>Insect production not reported; Cambarus (crayfish) production divided equally among the functional feeding groups</t>
  </si>
  <si>
    <t>Wallace_EtAl_1995_DDT</t>
  </si>
  <si>
    <t>Wallace_EtAl_1995_RP</t>
  </si>
  <si>
    <t>Wallace_EtAl_1995_RT</t>
  </si>
  <si>
    <t>Walther_Whiles_2011_BC1_Yr1</t>
  </si>
  <si>
    <t>AFDM</t>
  </si>
  <si>
    <t>Walther_Whiles_2011_BC1_Yr2</t>
  </si>
  <si>
    <t>No direct data on insects</t>
  </si>
  <si>
    <t>Walther_Whiles_2011_BC2_Yr1</t>
  </si>
  <si>
    <t>Walther_Whiles_2011_BC2_Yr2</t>
  </si>
  <si>
    <t>Whiting_EtAl_2011_KingsCreek_GalleryForest</t>
  </si>
  <si>
    <t>Only lists coordinates for general study area.</t>
  </si>
  <si>
    <t>Whiting_EtAl_2011_KingsCreek_Grass</t>
  </si>
  <si>
    <t>Whiting_EtAl_2011_KingsCreek_Shrub</t>
  </si>
  <si>
    <t>Woodward_EtAl_2005_Broadstone</t>
  </si>
  <si>
    <t>Hankel_2023_Munoz</t>
  </si>
  <si>
    <t>mg DM m-2 y-1</t>
  </si>
  <si>
    <t>Hankel_2023_Choncas</t>
  </si>
  <si>
    <t>Hankel_2023_Siambon</t>
  </si>
  <si>
    <t>Mello_etal2020_Broa</t>
  </si>
  <si>
    <t>mg AFDM m-2 y-1</t>
  </si>
  <si>
    <t xml:space="preserve">*Ash free dry mass* . I have mailed the author. </t>
  </si>
  <si>
    <t>Mello_etal2020_Espraiado</t>
  </si>
  <si>
    <t>Mello_etal2020_Chanchim</t>
  </si>
  <si>
    <t>Linares_2018_open1</t>
  </si>
  <si>
    <t>No info on insects. Coords for the whole area. Authors not responding</t>
  </si>
  <si>
    <t>Linares_2018_open2</t>
  </si>
  <si>
    <t>Linares_2018_open3</t>
  </si>
  <si>
    <t>Linares_2018_open4</t>
  </si>
  <si>
    <t>Linares_2018_close1</t>
  </si>
  <si>
    <t>Linares_2018_close2</t>
  </si>
  <si>
    <t>Linares_2018_close3</t>
  </si>
  <si>
    <t>Linares_2018_close4</t>
  </si>
  <si>
    <t>Consoli_2023</t>
  </si>
  <si>
    <r>
      <t>Coordinates of the dam. 5</t>
    </r>
    <r>
      <rPr>
        <vertAlign val="superscript"/>
        <sz val="10"/>
        <color rgb="FF000000"/>
        <rFont val="Calibri"/>
        <scheme val="minor"/>
      </rPr>
      <t>th</t>
    </r>
    <r>
      <rPr>
        <sz val="10"/>
        <color rgb="FF000000"/>
        <rFont val="Calibri"/>
        <scheme val="minor"/>
      </rPr>
      <t xml:space="preserve"> order river-  Data on pre, -during and after food (Spoel River)- Values are average of after-flood (since 2000)</t>
    </r>
  </si>
  <si>
    <t>10--18</t>
  </si>
  <si>
    <t>Rosas_2020_Gatos</t>
  </si>
  <si>
    <t>1st order tropical streams, NOTE, the taxa included are 70% of overall biomass!</t>
  </si>
  <si>
    <t>Rosas_2020_Prieta</t>
  </si>
  <si>
    <t>Venarski_2018_siteB</t>
  </si>
  <si>
    <t>− 105.61568</t>
  </si>
  <si>
    <t>Old-growth unconfined</t>
  </si>
  <si>
    <t>Venarski_2018_siteE</t>
  </si>
  <si>
    <t>− 105.61986</t>
  </si>
  <si>
    <t>Old-growth confined</t>
  </si>
  <si>
    <t>Venarski_2018_siteA</t>
  </si>
  <si>
    <t>− 105.63223</t>
  </si>
  <si>
    <t>Old-growth unconfined - *Data on emergence available!*</t>
  </si>
  <si>
    <t>Venarski_2018_siteC</t>
  </si>
  <si>
    <t>− 105.63252</t>
  </si>
  <si>
    <t>Secondary-growth unconfined</t>
  </si>
  <si>
    <t>Venarski_2018_siteD</t>
  </si>
  <si>
    <t>− 105.53580</t>
  </si>
  <si>
    <t>Nelson_2023_G7</t>
  </si>
  <si>
    <t>Green river. Sites downstream Flaming Gorge Dam. Exact location could be retrieved from Fig1 and GoogleMap. Stream size also estimated from map</t>
  </si>
  <si>
    <t>Nelson_2023_G6</t>
  </si>
  <si>
    <t>Nelson_2023_G5</t>
  </si>
  <si>
    <t>Nelson_2023_G2</t>
  </si>
  <si>
    <t>Nelson_2023_G1</t>
  </si>
  <si>
    <t>Nelson_2023_G3</t>
  </si>
  <si>
    <t>Nelson_2023_G4</t>
  </si>
  <si>
    <t>Singer2007_Kleine_Erlauf_sub</t>
  </si>
  <si>
    <t>subsidised reach</t>
  </si>
  <si>
    <t>Singer2007_Kleine_Erlauf_ref</t>
  </si>
  <si>
    <t>reference reach</t>
  </si>
  <si>
    <t>Beracko_2019</t>
  </si>
  <si>
    <t>Karst spring</t>
  </si>
  <si>
    <t>Golovatyuk_2020_site1</t>
  </si>
  <si>
    <t>Saline river- Elton lake Russia</t>
  </si>
  <si>
    <t>3.5–8.0</t>
  </si>
  <si>
    <t>Golovatyuk_2020_site2</t>
  </si>
  <si>
    <t>5.0–35.0</t>
  </si>
  <si>
    <t>Wild_et_al_2022_SB</t>
  </si>
  <si>
    <t>mg_DW_m-2_y-1</t>
  </si>
  <si>
    <t>Agri stream</t>
  </si>
  <si>
    <t>Wild_et_al_2022_OB</t>
  </si>
  <si>
    <t>Forest stream</t>
  </si>
  <si>
    <t>Wild_et_al_2022_GE</t>
  </si>
  <si>
    <t>Wild_et_al_2022_WG</t>
  </si>
  <si>
    <t>Paqualini_et_al_2023</t>
  </si>
  <si>
    <t>2nd order streams. Data taken from combined benthos and freeze-core sampling (complete data as for authors)</t>
  </si>
  <si>
    <t>Al-Zankana_2020_Ref_2015</t>
  </si>
  <si>
    <t>−0.972636</t>
  </si>
  <si>
    <t>EPT values are given together</t>
  </si>
  <si>
    <t>2.7; 4.1</t>
  </si>
  <si>
    <t>Al-Zankana_2020_Ref_2016</t>
  </si>
  <si>
    <t>Al-Zankana_2020_Control_2015</t>
  </si>
  <si>
    <t xml:space="preserve"> −0.909979</t>
  </si>
  <si>
    <t>Al-Zankana_2020_Control_2016</t>
  </si>
  <si>
    <t>Kendrick_2019_reference</t>
  </si>
  <si>
    <t>Tundra</t>
  </si>
  <si>
    <t xml:space="preserve">4th order- upper Kuparuk river </t>
  </si>
  <si>
    <t>Buffagni_1999</t>
  </si>
  <si>
    <t>Alpine river Italy</t>
  </si>
  <si>
    <t>Dudgeon_1999</t>
  </si>
  <si>
    <t>Third order tropical forest stream (Tai Po Kau) - Exact coordinates not given</t>
  </si>
  <si>
    <t>Third order</t>
  </si>
  <si>
    <t>Gücker_et_al_2024_Sumidouro</t>
  </si>
  <si>
    <t>Average of three natural (not urban or agricultural) stream reaches.</t>
  </si>
  <si>
    <t>Production from Table S2; widths from Table 2; Lat/Long from Figure S1.</t>
  </si>
  <si>
    <t>Gücker_et_al_2024_Calcada_dos_Escravos</t>
  </si>
  <si>
    <t>Gücker_et_al_2024_Oficina</t>
  </si>
  <si>
    <t>Average of three agricultural stream reaches.</t>
  </si>
  <si>
    <t>Gücker_et_al_2024_Carandai</t>
  </si>
  <si>
    <t>Gücker_et_al_2024_Ritapolis</t>
  </si>
  <si>
    <t>Average of three urban stream reaches.</t>
  </si>
  <si>
    <t>Gücker_et_al_2024_Prados</t>
  </si>
  <si>
    <t>Nakano_Murakami_2001</t>
  </si>
  <si>
    <t>Sum of daily measurements multiplied by number of days in  each of 12 months, Figure 1C</t>
  </si>
  <si>
    <t xml:space="preserve">Aquatic to Terrestrial Flux, extracted from Figure 1C </t>
  </si>
  <si>
    <t>Raitif_et_al_2018</t>
  </si>
  <si>
    <t>Sum cumulative emergence, Figure 1 Right</t>
  </si>
  <si>
    <t>Coordinates Not given in article. The coordinates reflect the  Ille-et-Vilaine region in Brittany</t>
  </si>
  <si>
    <t>Dolph_2015_Buffalo Creek_up</t>
  </si>
  <si>
    <t>Only non insect was amphipods w low production-Dipetara reported, but not known if Chironomids</t>
  </si>
  <si>
    <t>Dolph_2015_Buffalo Creek_restored</t>
  </si>
  <si>
    <t>Dolph_2015_Elm Creek_up</t>
  </si>
  <si>
    <t>Dolph_2015_Elm Creek_restored</t>
  </si>
  <si>
    <t>Dolpth_2015_Rush River_up</t>
  </si>
  <si>
    <t>Dolpth_2015_Rush River_restored</t>
  </si>
  <si>
    <t>Fontvieille_Cazelles_1990</t>
  </si>
  <si>
    <t>mg C m-2 y-1</t>
  </si>
  <si>
    <t>Multiplied daily measures by days of month; took average when multiple measures each month; Sum across months for total. Figure 9</t>
  </si>
  <si>
    <t>Figure 9</t>
  </si>
  <si>
    <t>Reinert_2021_Ref</t>
  </si>
  <si>
    <t>reference</t>
  </si>
  <si>
    <t>Reinert_2021_Mim</t>
  </si>
  <si>
    <t>beaver mimic</t>
  </si>
  <si>
    <t>Reinert_2021_Beav</t>
  </si>
  <si>
    <t>actual beaver</t>
  </si>
  <si>
    <t>Demi_2018</t>
  </si>
  <si>
    <t>Mean across streams from pre-treatment date</t>
  </si>
  <si>
    <t>Hienrich_et_al_2014</t>
  </si>
  <si>
    <t>Sum of daily measurements multiplied by number of days in  each of 12 months, Coordinates Taken from above Post Creek Cutoff; Figure 2D non-wier site</t>
  </si>
  <si>
    <t>Yuen_Dudgeon_2016_SM</t>
  </si>
  <si>
    <t>Sum of daily measurements multiplied by number of days in  each of 12 months; Figure 4</t>
  </si>
  <si>
    <t>Yuen_Dudgeon_2016_TKP</t>
  </si>
  <si>
    <t>Neres-Lima2017</t>
  </si>
  <si>
    <t>Mean across streams</t>
  </si>
  <si>
    <t>Bright_1982_Outcrop</t>
  </si>
  <si>
    <t>g DM m-2 y-1</t>
  </si>
  <si>
    <t>Averaged ranges of production estimates.</t>
  </si>
  <si>
    <t>Bright_1982_Riffle</t>
  </si>
  <si>
    <t>Cross_EtAl_2011_Site1_GlenCanyon_Yr1</t>
  </si>
  <si>
    <t>Average of three sampled years. Assumed taxa listed in the table are all, or essentially all, taxa present in samples. Width is a riverwide average.</t>
  </si>
  <si>
    <t>Kedzierski_Smock_2001_HigginsCreek_Logged3yrsPrevious</t>
  </si>
  <si>
    <t>Has taxon-specific values, but only for "most productive" taxa; appears to omit ~1/3 of overall production when those are added together. Lat/Long from generic point in Assakoosick Swamp system; no specific coordinates provided in paper.</t>
  </si>
  <si>
    <t>Table 1, Fig 4</t>
  </si>
  <si>
    <t>Kedzierski_Smock_2001_HigginsCreek_Unlogged</t>
  </si>
  <si>
    <t>Jackson_Fisher_1986</t>
  </si>
  <si>
    <t>Average Emergence estimates provided in Table 4. Coordinates Estimated from Sycamore Creek on Google Maps</t>
  </si>
  <si>
    <t>Naslund_2021_unmined</t>
  </si>
  <si>
    <t>Study on contamination- Values are from reference streams</t>
  </si>
  <si>
    <t>Harper_1978_l'Achigan River</t>
  </si>
  <si>
    <t>Average emergence production records from Fisher and Jackson 1986. Coordinates extracted from Google maps</t>
  </si>
  <si>
    <t>Ringe_1974_Breitenbach</t>
  </si>
  <si>
    <t>Emergence from Table 5 in Fisher and Jackson 1986. Coordinates from google maps</t>
  </si>
  <si>
    <t>Gumbel_1976_Breitenbach_StreamSpring</t>
  </si>
  <si>
    <t>Emergence from Table 5 in Fisher and Jackson 1986. Averaged stream and spring values; Coordinates from google maps</t>
  </si>
  <si>
    <t>Illies_1971_1975_Breitenbach</t>
  </si>
  <si>
    <t>Gumbel_Kalkbach_StreamSpring</t>
  </si>
  <si>
    <t>Emergence from Table 5 in Fisher and Jackson 1986. Average Spring and Ptreams. Coordinates from google maps</t>
  </si>
  <si>
    <t>Ringe_1974_Rohrwiesenbach</t>
  </si>
  <si>
    <t>Moio_2017_upstream</t>
  </si>
  <si>
    <t>Emergence estimates for 3days, each season. We multiplied each season by 30 (90 days), and summed up for the year.</t>
  </si>
  <si>
    <t>Moio_2017_tributary</t>
  </si>
  <si>
    <t>Moio_2017_downstream</t>
  </si>
  <si>
    <t>Johnson_Fritz_Price_unmined</t>
  </si>
  <si>
    <t>Estimated production from emergence data. I kept both measures. Mean across 5 unmined streams</t>
  </si>
  <si>
    <t>E/P</t>
  </si>
  <si>
    <t>Emergence g/m-2/y-1</t>
  </si>
  <si>
    <t>Production g/m-2/y-1</t>
  </si>
  <si>
    <t>Taxa</t>
  </si>
  <si>
    <t>Chironomidae</t>
  </si>
  <si>
    <t>Jackson and Fisher, 1986</t>
  </si>
  <si>
    <t>Ephemeroptera</t>
  </si>
  <si>
    <t>Trichoptera</t>
  </si>
  <si>
    <t>Berg and Hellenthal, 1991</t>
  </si>
  <si>
    <t>Sallenave and Day, 1991</t>
  </si>
  <si>
    <t>Diptera</t>
  </si>
  <si>
    <t>Poepperl, 2000</t>
  </si>
  <si>
    <t>Shieh et al., 2003</t>
  </si>
  <si>
    <t>NA</t>
  </si>
  <si>
    <t>EPT_Chiro</t>
  </si>
  <si>
    <t>Gücker et al., 2011</t>
  </si>
  <si>
    <t>Reynolds and Benke, 2012</t>
  </si>
  <si>
    <t>Johnson et al., 2013a</t>
  </si>
  <si>
    <t xml:space="preserve">EPT </t>
  </si>
  <si>
    <t>Yuen and Dudgeon, 2016</t>
  </si>
  <si>
    <t>Raitif et al 2018</t>
  </si>
  <si>
    <t>GutierrezFonseca&amp;Ramirez2020</t>
  </si>
  <si>
    <t>Index = copy from DataFileS1</t>
  </si>
  <si>
    <t>SiteID = copy from DataFileS1</t>
  </si>
  <si>
    <t>LAT = copy from location file </t>
  </si>
  <si>
    <t>LON = copy from location file </t>
  </si>
  <si>
    <t>ACSP = annual community secondary production </t>
  </si>
  <si>
    <t>AISP = annual insect secondary production </t>
  </si>
  <si>
    <t>EphSP = Ephemeroptera Secondary production </t>
  </si>
  <si>
    <t>TriSP = Trichoptera secondary</t>
  </si>
  <si>
    <t>PleSP = Plecoptera secondary production </t>
  </si>
  <si>
    <t>ChiSP = Chironomid Secondary production </t>
  </si>
  <si>
    <t>OtherSP= other secondary production </t>
  </si>
  <si>
    <t>Units = units for secondary production </t>
  </si>
  <si>
    <t>Notes = comments about the study  </t>
  </si>
  <si>
    <t>Stream width=as reported in paper</t>
  </si>
  <si>
    <t>Basin size = as reported in paper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</si>
</sst>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2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9"/>
      <color rgb="FF2C2C2C"/>
      <name val="Var(--Inter)"/>
      <charset val="1"/>
    </font>
    <font>
      <i/>
      <sz val="10"/>
      <name val="Arial"/>
    </font>
    <font>
      <sz val="10"/>
      <name val="Arial"/>
    </font>
    <font>
      <sz val="10"/>
      <color rgb="FF0000FF"/>
      <name val="Arial"/>
    </font>
    <font>
      <b/>
      <sz val="10"/>
      <name val="Arial"/>
    </font>
    <font>
      <sz val="11"/>
      <color rgb="FF242424"/>
      <name val="Aptos Narrow"/>
      <charset val="1"/>
    </font>
    <font>
      <b/>
      <sz val="11"/>
      <color theme="1"/>
      <name val="Calibri"/>
      <scheme val="minor"/>
    </font>
    <font>
      <i/>
      <sz val="11"/>
      <color rgb="FF000000"/>
      <name val="Calibri"/>
      <scheme val="minor"/>
    </font>
    <font>
      <sz val="11"/>
      <color rgb="FF000000"/>
      <name val="Calibri"/>
      <scheme val="minor"/>
    </font>
    <font>
      <vertAlign val="superscript"/>
      <sz val="10"/>
      <color rgb="FF000000"/>
      <name val="Calibri"/>
      <scheme val="minor"/>
    </font>
    <font>
      <sz val="10"/>
      <color rgb="FF000000"/>
      <name val="Calibri"/>
      <scheme val="minor"/>
    </font>
    <font>
      <b/>
      <sz val="11"/>
      <color rgb="FF000000"/>
      <name val="Calibri"/>
      <scheme val="minor"/>
    </font>
    <font>
      <i/>
      <sz val="11"/>
      <color theme="1"/>
      <name val="Calibri"/>
      <scheme val="minor"/>
    </font>
    <font>
      <i/>
      <sz val="10"/>
      <name val="Calibri"/>
      <scheme val="minor"/>
    </font>
    <font>
      <i/>
      <sz val="10"/>
      <color rgb="FF000000"/>
      <name val="Calibri"/>
      <scheme val="minor"/>
    </font>
    <font>
      <sz val="9"/>
      <color rgb="FF000000"/>
      <name val="Calibri"/>
      <scheme val="minor"/>
    </font>
    <font>
      <sz val="11"/>
      <name val="Calibri"/>
      <scheme val="minor"/>
    </font>
    <font>
      <sz val="11"/>
      <color theme="5"/>
      <name val="Calibri"/>
      <scheme val="minor"/>
    </font>
    <font>
      <sz val="11"/>
      <color rgb="FF242424"/>
      <name val="Calibri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9"/>
      <color rgb="FF2C2C2C"/>
      <name val="Calibri"/>
      <scheme val="minor"/>
    </font>
    <font>
      <u/>
      <sz val="9"/>
      <color rgb="FF1A73E8"/>
      <name val="Calibri"/>
      <scheme val="minor"/>
    </font>
    <font>
      <sz val="10"/>
      <name val="Calibri"/>
      <scheme val="minor"/>
    </font>
    <font>
      <sz val="10"/>
      <color theme="4"/>
      <name val="Calibri"/>
      <scheme val="minor"/>
    </font>
    <font>
      <sz val="11"/>
      <color rgb="FF242424"/>
      <name val="Calibri"/>
      <family val="2"/>
      <scheme val="minor"/>
    </font>
    <font>
      <i/>
      <sz val="9"/>
      <color theme="1"/>
      <name val="Times New Roman"/>
      <charset val="1"/>
    </font>
    <font>
      <sz val="9"/>
      <color theme="1"/>
      <name val="Times New Roman"/>
      <charset val="1"/>
    </font>
    <font>
      <b/>
      <sz val="9"/>
      <color theme="1"/>
      <name val="Times New Roman"/>
      <charset val="1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3" fillId="6" borderId="0" xfId="0" applyFont="1" applyFill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6" borderId="0" xfId="0" applyFill="1"/>
    <xf numFmtId="0" fontId="14" fillId="0" borderId="0" xfId="0" applyFont="1"/>
    <xf numFmtId="0" fontId="9" fillId="0" borderId="0" xfId="0" applyFont="1"/>
    <xf numFmtId="0" fontId="11" fillId="0" borderId="0" xfId="0" applyFont="1"/>
    <xf numFmtId="0" fontId="2" fillId="0" borderId="0" xfId="0" applyFont="1"/>
    <xf numFmtId="0" fontId="11" fillId="0" borderId="0" xfId="0" applyFont="1" applyAlignment="1">
      <alignment readingOrder="1"/>
    </xf>
    <xf numFmtId="0" fontId="2" fillId="3" borderId="0" xfId="0" applyFont="1" applyFill="1"/>
    <xf numFmtId="0" fontId="2" fillId="9" borderId="0" xfId="0" applyFont="1" applyFill="1"/>
    <xf numFmtId="0" fontId="2" fillId="4" borderId="0" xfId="0" applyFont="1" applyFill="1"/>
    <xf numFmtId="0" fontId="11" fillId="0" borderId="1" xfId="0" applyFont="1" applyBorder="1" applyAlignment="1">
      <alignment readingOrder="1"/>
    </xf>
    <xf numFmtId="0" fontId="11" fillId="0" borderId="3" xfId="0" applyFont="1" applyBorder="1" applyAlignment="1">
      <alignment readingOrder="1"/>
    </xf>
    <xf numFmtId="0" fontId="11" fillId="3" borderId="0" xfId="0" applyFont="1" applyFill="1"/>
    <xf numFmtId="0" fontId="15" fillId="3" borderId="0" xfId="0" applyFont="1" applyFill="1"/>
    <xf numFmtId="0" fontId="11" fillId="0" borderId="2" xfId="0" applyFont="1" applyBorder="1" applyAlignment="1">
      <alignment readingOrder="1"/>
    </xf>
    <xf numFmtId="0" fontId="15" fillId="0" borderId="0" xfId="0" applyFont="1"/>
    <xf numFmtId="0" fontId="13" fillId="0" borderId="0" xfId="0" applyFont="1" applyAlignment="1">
      <alignment horizontal="left"/>
    </xf>
    <xf numFmtId="0" fontId="13" fillId="0" borderId="0" xfId="0" applyFont="1"/>
    <xf numFmtId="0" fontId="13" fillId="7" borderId="0" xfId="0" applyFont="1" applyFill="1"/>
    <xf numFmtId="0" fontId="16" fillId="0" borderId="0" xfId="0" applyFont="1"/>
    <xf numFmtId="0" fontId="17" fillId="0" borderId="0" xfId="0" applyFont="1"/>
    <xf numFmtId="0" fontId="17" fillId="7" borderId="0" xfId="0" applyFont="1" applyFill="1"/>
    <xf numFmtId="0" fontId="18" fillId="0" borderId="0" xfId="0" applyFont="1" applyAlignment="1">
      <alignment horizontal="left"/>
    </xf>
    <xf numFmtId="0" fontId="13" fillId="8" borderId="0" xfId="0" applyFont="1" applyFill="1" applyAlignment="1">
      <alignment horizontal="center"/>
    </xf>
    <xf numFmtId="0" fontId="13" fillId="6" borderId="0" xfId="0" applyFont="1" applyFill="1" applyAlignment="1">
      <alignment horizontal="left" wrapText="1"/>
    </xf>
    <xf numFmtId="0" fontId="13" fillId="6" borderId="0" xfId="0" applyFont="1" applyFill="1" applyAlignment="1">
      <alignment horizontal="left"/>
    </xf>
    <xf numFmtId="0" fontId="19" fillId="0" borderId="0" xfId="0" applyFont="1"/>
    <xf numFmtId="0" fontId="13" fillId="0" borderId="0" xfId="0" applyFont="1" applyAlignment="1">
      <alignment horizontal="left" wrapText="1"/>
    </xf>
    <xf numFmtId="0" fontId="20" fillId="0" borderId="0" xfId="0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18" fillId="9" borderId="0" xfId="0" applyFont="1" applyFill="1" applyAlignment="1">
      <alignment horizontal="left"/>
    </xf>
    <xf numFmtId="0" fontId="13" fillId="9" borderId="0" xfId="0" applyFont="1" applyFill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3" fillId="6" borderId="0" xfId="0" applyFont="1" applyFill="1" applyAlignment="1">
      <alignment wrapText="1"/>
    </xf>
    <xf numFmtId="0" fontId="24" fillId="6" borderId="0" xfId="0" applyFont="1" applyFill="1" applyAlignment="1">
      <alignment wrapText="1"/>
    </xf>
    <xf numFmtId="0" fontId="25" fillId="0" borderId="0" xfId="0" applyFont="1"/>
    <xf numFmtId="0" fontId="13" fillId="9" borderId="0" xfId="0" applyFont="1" applyFill="1" applyAlignment="1">
      <alignment horizontal="left"/>
    </xf>
    <xf numFmtId="0" fontId="24" fillId="0" borderId="0" xfId="0" applyFont="1" applyAlignment="1">
      <alignment wrapText="1"/>
    </xf>
    <xf numFmtId="0" fontId="26" fillId="0" borderId="0" xfId="0" applyFont="1"/>
    <xf numFmtId="0" fontId="26" fillId="0" borderId="0" xfId="0" applyFont="1" applyAlignment="1">
      <alignment horizontal="center"/>
    </xf>
    <xf numFmtId="0" fontId="2" fillId="2" borderId="0" xfId="0" applyFont="1" applyFill="1"/>
    <xf numFmtId="0" fontId="11" fillId="9" borderId="0" xfId="0" applyFont="1" applyFill="1"/>
    <xf numFmtId="0" fontId="15" fillId="9" borderId="0" xfId="0" applyFont="1" applyFill="1"/>
    <xf numFmtId="0" fontId="11" fillId="4" borderId="0" xfId="0" applyFont="1" applyFill="1"/>
    <xf numFmtId="0" fontId="15" fillId="4" borderId="0" xfId="0" applyFont="1" applyFill="1"/>
    <xf numFmtId="0" fontId="11" fillId="4" borderId="0" xfId="0" applyFont="1" applyFill="1" applyAlignment="1">
      <alignment readingOrder="1"/>
    </xf>
    <xf numFmtId="0" fontId="28" fillId="0" borderId="0" xfId="0" applyFont="1"/>
    <xf numFmtId="0" fontId="29" fillId="0" borderId="4" xfId="0" applyFont="1" applyBorder="1"/>
    <xf numFmtId="0" fontId="30" fillId="0" borderId="4" xfId="0" applyFont="1" applyBorder="1"/>
    <xf numFmtId="0" fontId="31" fillId="0" borderId="4" xfId="0" applyFont="1" applyBorder="1"/>
    <xf numFmtId="2" fontId="0" fillId="0" borderId="0" xfId="0" applyNumberFormat="1"/>
    <xf numFmtId="2" fontId="29" fillId="0" borderId="4" xfId="0" applyNumberFormat="1" applyFont="1" applyBorder="1" applyAlignment="1">
      <alignment horizontal="right"/>
    </xf>
    <xf numFmtId="164" fontId="29" fillId="0" borderId="4" xfId="0" applyNumberFormat="1" applyFont="1" applyBorder="1" applyAlignment="1">
      <alignment horizontal="right"/>
    </xf>
    <xf numFmtId="0" fontId="27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readingOrder="1"/>
    </xf>
    <xf numFmtId="0" fontId="1" fillId="0" borderId="0" xfId="0" applyFont="1" applyAlignment="1">
      <alignment wrapText="1" readingOrder="1"/>
    </xf>
    <xf numFmtId="0" fontId="1" fillId="9" borderId="0" xfId="0" applyFont="1" applyFill="1"/>
    <xf numFmtId="0" fontId="1" fillId="4" borderId="0" xfId="0" applyFont="1" applyFill="1"/>
    <xf numFmtId="0" fontId="1" fillId="0" borderId="0" xfId="0" applyFont="1" applyAlignment="1">
      <alignment wrapText="1"/>
    </xf>
    <xf numFmtId="0" fontId="1" fillId="0" borderId="3" xfId="0" applyFont="1" applyBorder="1" applyAlignment="1">
      <alignment readingOrder="1"/>
    </xf>
    <xf numFmtId="0" fontId="1" fillId="0" borderId="1" xfId="0" applyFont="1" applyBorder="1" applyAlignment="1">
      <alignment readingOrder="1"/>
    </xf>
    <xf numFmtId="0" fontId="1" fillId="0" borderId="3" xfId="0" applyFont="1" applyBorder="1"/>
    <xf numFmtId="0" fontId="1" fillId="3" borderId="0" xfId="0" applyFont="1" applyFill="1"/>
    <xf numFmtId="0" fontId="1" fillId="3" borderId="1" xfId="0" applyFont="1" applyFill="1" applyBorder="1"/>
    <xf numFmtId="0" fontId="1" fillId="0" borderId="1" xfId="0" applyFont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center"/>
    </xf>
    <xf numFmtId="1" fontId="1" fillId="0" borderId="0" xfId="0" applyNumberFormat="1" applyFont="1" applyAlignment="1">
      <alignment horizontal="center"/>
    </xf>
    <xf numFmtId="1" fontId="1" fillId="4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6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9"/>
  <sheetViews>
    <sheetView tabSelected="1" workbookViewId="0">
      <pane ySplit="1" topLeftCell="A250" activePane="bottomLeft" state="frozen"/>
      <selection pane="bottomLeft" activeCell="E263" sqref="E263"/>
    </sheetView>
  </sheetViews>
  <sheetFormatPr defaultColWidth="8.7109375" defaultRowHeight="15" customHeight="1"/>
  <cols>
    <col min="1" max="1" width="8.7109375" style="11"/>
    <col min="2" max="2" width="48.42578125" style="11" bestFit="1" customWidth="1"/>
    <col min="3" max="3" width="12.85546875" style="11" bestFit="1" customWidth="1"/>
    <col min="4" max="4" width="12.140625" style="11" customWidth="1"/>
    <col min="5" max="10" width="9.28515625" style="11" bestFit="1" customWidth="1"/>
    <col min="11" max="11" width="8.7109375" style="11"/>
    <col min="12" max="12" width="9.28515625" style="11" bestFit="1" customWidth="1"/>
    <col min="13" max="13" width="19.28515625" style="11" customWidth="1"/>
    <col min="14" max="14" width="24.85546875" style="11" customWidth="1"/>
    <col min="15" max="15" width="15.5703125" style="11" customWidth="1"/>
    <col min="16" max="16384" width="8.7109375" style="11"/>
  </cols>
  <sheetData>
    <row r="1" spans="1:17" s="9" customFormat="1" ht="23.25" customHeight="1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</row>
    <row r="2" spans="1:17" ht="15" customHeight="1">
      <c r="A2" s="10">
        <v>159</v>
      </c>
      <c r="B2" s="10" t="s">
        <v>17</v>
      </c>
      <c r="C2" s="10">
        <v>-67.655000000000001</v>
      </c>
      <c r="D2" s="10">
        <v>-55.076000000000001</v>
      </c>
      <c r="E2" s="62">
        <v>864.1</v>
      </c>
      <c r="F2" s="62"/>
      <c r="G2" s="62"/>
      <c r="H2" s="62"/>
      <c r="I2" s="62"/>
      <c r="J2" s="62"/>
      <c r="K2" s="62"/>
      <c r="L2" s="62"/>
      <c r="M2" s="12" t="s">
        <v>18</v>
      </c>
      <c r="N2" s="62" t="s">
        <v>19</v>
      </c>
      <c r="O2" s="62"/>
      <c r="P2" s="62"/>
      <c r="Q2" s="62"/>
    </row>
    <row r="3" spans="1:17" ht="15" customHeight="1">
      <c r="A3" s="10">
        <v>160</v>
      </c>
      <c r="B3" s="10" t="s">
        <v>20</v>
      </c>
      <c r="C3" s="10">
        <v>-67.655000000000001</v>
      </c>
      <c r="D3" s="10">
        <v>-55.076000000000001</v>
      </c>
      <c r="E3" s="62">
        <v>443.3</v>
      </c>
      <c r="F3" s="62"/>
      <c r="G3" s="62"/>
      <c r="H3" s="62"/>
      <c r="I3" s="62"/>
      <c r="J3" s="62"/>
      <c r="K3" s="62"/>
      <c r="L3" s="62"/>
      <c r="M3" s="12" t="s">
        <v>18</v>
      </c>
      <c r="N3" s="62" t="s">
        <v>19</v>
      </c>
      <c r="O3" s="62"/>
      <c r="P3" s="62"/>
      <c r="Q3" s="62"/>
    </row>
    <row r="4" spans="1:17" ht="15" customHeight="1">
      <c r="A4" s="10">
        <v>158</v>
      </c>
      <c r="B4" s="10" t="s">
        <v>21</v>
      </c>
      <c r="C4" s="10">
        <v>-67.655000000000001</v>
      </c>
      <c r="D4" s="10">
        <v>-55.076000000000001</v>
      </c>
      <c r="E4" s="62">
        <v>257.89999999999998</v>
      </c>
      <c r="F4" s="62"/>
      <c r="G4" s="62"/>
      <c r="H4" s="62"/>
      <c r="I4" s="62"/>
      <c r="J4" s="62"/>
      <c r="K4" s="62"/>
      <c r="L4" s="62"/>
      <c r="M4" s="12" t="s">
        <v>18</v>
      </c>
      <c r="N4" s="62"/>
      <c r="O4" s="62"/>
      <c r="P4" s="62"/>
      <c r="Q4" s="62"/>
    </row>
    <row r="5" spans="1:17" ht="15" customHeight="1">
      <c r="A5" s="62">
        <v>1</v>
      </c>
      <c r="B5" s="62" t="s">
        <v>22</v>
      </c>
      <c r="C5" s="62">
        <v>-81.86</v>
      </c>
      <c r="D5" s="62">
        <v>31.13</v>
      </c>
      <c r="E5" s="62">
        <v>15660</v>
      </c>
      <c r="F5" s="62">
        <v>12766</v>
      </c>
      <c r="G5" s="62">
        <v>54</v>
      </c>
      <c r="H5" s="62">
        <v>44</v>
      </c>
      <c r="I5" s="62">
        <v>1180</v>
      </c>
      <c r="J5" s="62">
        <v>9072</v>
      </c>
      <c r="K5" s="62"/>
      <c r="L5" s="62"/>
      <c r="M5" s="62" t="s">
        <v>23</v>
      </c>
      <c r="N5" s="62" t="s">
        <v>24</v>
      </c>
      <c r="O5" s="62">
        <v>70</v>
      </c>
      <c r="P5" s="62"/>
      <c r="Q5" s="62" t="s">
        <v>25</v>
      </c>
    </row>
    <row r="6" spans="1:17" ht="15" customHeight="1">
      <c r="A6" s="62">
        <v>2</v>
      </c>
      <c r="B6" s="62" t="s">
        <v>26</v>
      </c>
      <c r="C6" s="62">
        <v>-82.36</v>
      </c>
      <c r="D6" s="62">
        <v>31.28</v>
      </c>
      <c r="E6" s="62">
        <v>30489</v>
      </c>
      <c r="F6" s="62">
        <v>28327</v>
      </c>
      <c r="G6" s="62">
        <v>36</v>
      </c>
      <c r="H6" s="62">
        <v>60</v>
      </c>
      <c r="I6" s="62">
        <v>738</v>
      </c>
      <c r="J6" s="62">
        <v>22144</v>
      </c>
      <c r="K6" s="62"/>
      <c r="L6" s="62"/>
      <c r="M6" s="62" t="s">
        <v>23</v>
      </c>
      <c r="N6" s="62" t="s">
        <v>24</v>
      </c>
      <c r="O6" s="62">
        <v>50</v>
      </c>
      <c r="P6" s="62"/>
      <c r="Q6" s="62" t="s">
        <v>25</v>
      </c>
    </row>
    <row r="7" spans="1:17" ht="15" customHeight="1">
      <c r="A7" s="63">
        <v>4</v>
      </c>
      <c r="B7" s="63" t="s">
        <v>27</v>
      </c>
      <c r="C7" s="10">
        <v>-105.86</v>
      </c>
      <c r="D7" s="10">
        <v>39.57</v>
      </c>
      <c r="E7" s="63">
        <v>39</v>
      </c>
      <c r="F7" s="63">
        <v>39</v>
      </c>
      <c r="G7" s="64">
        <v>0</v>
      </c>
      <c r="H7" s="64">
        <v>11</v>
      </c>
      <c r="I7" s="64">
        <v>5</v>
      </c>
      <c r="J7" s="63">
        <v>14</v>
      </c>
      <c r="K7" s="63">
        <v>9</v>
      </c>
      <c r="L7" s="63"/>
      <c r="M7" s="63" t="s">
        <v>23</v>
      </c>
      <c r="N7" s="63"/>
      <c r="O7" s="63"/>
      <c r="P7" s="62"/>
      <c r="Q7" s="62"/>
    </row>
    <row r="8" spans="1:17" ht="15" customHeight="1">
      <c r="A8" s="63">
        <v>5</v>
      </c>
      <c r="B8" s="63" t="s">
        <v>28</v>
      </c>
      <c r="C8" s="10">
        <v>-106.07</v>
      </c>
      <c r="D8" s="10">
        <v>39.270000000000003</v>
      </c>
      <c r="E8" s="63">
        <v>1716</v>
      </c>
      <c r="F8" s="63">
        <v>1716</v>
      </c>
      <c r="G8" s="63">
        <v>1127</v>
      </c>
      <c r="H8" s="63">
        <v>228</v>
      </c>
      <c r="I8" s="63">
        <v>303</v>
      </c>
      <c r="J8" s="63">
        <v>2</v>
      </c>
      <c r="K8" s="63">
        <v>56</v>
      </c>
      <c r="L8" s="63"/>
      <c r="M8" s="63" t="s">
        <v>23</v>
      </c>
      <c r="N8" s="63"/>
      <c r="O8" s="63"/>
      <c r="P8" s="62"/>
      <c r="Q8" s="62"/>
    </row>
    <row r="9" spans="1:17" ht="15" customHeight="1">
      <c r="A9" s="63">
        <v>6</v>
      </c>
      <c r="B9" s="63" t="s">
        <v>29</v>
      </c>
      <c r="C9" s="10">
        <v>-106.07</v>
      </c>
      <c r="D9" s="10">
        <v>39.28</v>
      </c>
      <c r="E9" s="63">
        <v>2284</v>
      </c>
      <c r="F9" s="63">
        <v>2284</v>
      </c>
      <c r="G9" s="63">
        <v>1293</v>
      </c>
      <c r="H9" s="63">
        <v>383</v>
      </c>
      <c r="I9" s="63">
        <v>321</v>
      </c>
      <c r="J9" s="63">
        <v>257</v>
      </c>
      <c r="K9" s="63">
        <v>30</v>
      </c>
      <c r="L9" s="63"/>
      <c r="M9" s="63" t="s">
        <v>23</v>
      </c>
      <c r="N9" s="63"/>
      <c r="O9" s="63"/>
      <c r="P9" s="62"/>
      <c r="Q9" s="62"/>
    </row>
    <row r="10" spans="1:17" ht="15" customHeight="1">
      <c r="A10" s="63">
        <v>7</v>
      </c>
      <c r="B10" s="63" t="s">
        <v>30</v>
      </c>
      <c r="C10" s="10">
        <v>-106.21</v>
      </c>
      <c r="D10" s="10">
        <v>39.35</v>
      </c>
      <c r="E10" s="63">
        <v>4465</v>
      </c>
      <c r="F10" s="63">
        <v>4465</v>
      </c>
      <c r="G10" s="63">
        <v>1770</v>
      </c>
      <c r="H10" s="63">
        <v>1102</v>
      </c>
      <c r="I10" s="63">
        <v>973</v>
      </c>
      <c r="J10" s="63">
        <v>469</v>
      </c>
      <c r="K10" s="63">
        <v>151</v>
      </c>
      <c r="L10" s="63"/>
      <c r="M10" s="63" t="s">
        <v>23</v>
      </c>
      <c r="N10" s="63"/>
      <c r="O10" s="63"/>
      <c r="P10" s="62"/>
      <c r="Q10" s="62"/>
    </row>
    <row r="11" spans="1:17" ht="15" customHeight="1">
      <c r="A11" s="63">
        <v>8</v>
      </c>
      <c r="B11" s="63" t="s">
        <v>31</v>
      </c>
      <c r="C11" s="10">
        <v>-106.08</v>
      </c>
      <c r="D11" s="10">
        <v>39.200000000000003</v>
      </c>
      <c r="E11" s="63">
        <v>5196</v>
      </c>
      <c r="F11" s="63">
        <v>5196</v>
      </c>
      <c r="G11" s="63">
        <v>3002</v>
      </c>
      <c r="H11" s="63">
        <v>862</v>
      </c>
      <c r="I11" s="63">
        <v>526</v>
      </c>
      <c r="J11" s="63">
        <v>767</v>
      </c>
      <c r="K11" s="63">
        <v>39</v>
      </c>
      <c r="L11" s="63"/>
      <c r="M11" s="63" t="s">
        <v>23</v>
      </c>
      <c r="N11" s="63"/>
      <c r="O11" s="63"/>
      <c r="P11" s="62"/>
      <c r="Q11" s="62"/>
    </row>
    <row r="12" spans="1:17" ht="15" customHeight="1">
      <c r="A12" s="10">
        <v>9</v>
      </c>
      <c r="B12" s="10" t="s">
        <v>32</v>
      </c>
      <c r="C12" s="10">
        <v>-68.13</v>
      </c>
      <c r="D12" s="10">
        <v>44.89</v>
      </c>
      <c r="E12" s="62">
        <v>1682</v>
      </c>
      <c r="F12" s="62">
        <v>1628.4</v>
      </c>
      <c r="G12" s="62">
        <v>0.22</v>
      </c>
      <c r="H12" s="62">
        <v>515.4</v>
      </c>
      <c r="I12" s="62">
        <v>488.7</v>
      </c>
      <c r="J12" s="62">
        <v>243.37</v>
      </c>
      <c r="K12" s="62"/>
      <c r="L12" s="62"/>
      <c r="M12" s="12" t="s">
        <v>18</v>
      </c>
      <c r="N12" s="62"/>
      <c r="O12" s="62"/>
      <c r="P12" s="62"/>
      <c r="Q12" s="62" t="s">
        <v>33</v>
      </c>
    </row>
    <row r="13" spans="1:17" ht="15" customHeight="1">
      <c r="A13" s="10">
        <v>10</v>
      </c>
      <c r="B13" s="10" t="s">
        <v>34</v>
      </c>
      <c r="C13" s="10">
        <v>-68.13</v>
      </c>
      <c r="D13" s="10">
        <v>44.89</v>
      </c>
      <c r="E13" s="62">
        <v>2271</v>
      </c>
      <c r="F13" s="62">
        <v>2156.4</v>
      </c>
      <c r="G13" s="62">
        <v>1.42</v>
      </c>
      <c r="H13" s="62">
        <v>672.6</v>
      </c>
      <c r="I13" s="62">
        <v>624.4</v>
      </c>
      <c r="J13" s="62">
        <v>236.53000000000003</v>
      </c>
      <c r="K13" s="62"/>
      <c r="L13" s="62"/>
      <c r="M13" s="12" t="s">
        <v>18</v>
      </c>
      <c r="N13" s="62"/>
      <c r="O13" s="62"/>
      <c r="P13" s="62"/>
      <c r="Q13" s="62" t="s">
        <v>33</v>
      </c>
    </row>
    <row r="14" spans="1:17" ht="15" customHeight="1">
      <c r="A14" s="10">
        <v>11</v>
      </c>
      <c r="B14" s="10" t="s">
        <v>35</v>
      </c>
      <c r="C14" s="10">
        <v>-68.14</v>
      </c>
      <c r="D14" s="10">
        <v>44.88</v>
      </c>
      <c r="E14" s="62">
        <v>1654</v>
      </c>
      <c r="F14" s="62">
        <v>1573.9</v>
      </c>
      <c r="G14" s="62">
        <v>0</v>
      </c>
      <c r="H14" s="62">
        <v>564.29999999999995</v>
      </c>
      <c r="I14" s="62">
        <v>766.2</v>
      </c>
      <c r="J14" s="62">
        <v>241.37</v>
      </c>
      <c r="K14" s="62"/>
      <c r="L14" s="62"/>
      <c r="M14" s="12" t="s">
        <v>18</v>
      </c>
      <c r="N14" s="62"/>
      <c r="O14" s="62"/>
      <c r="P14" s="62"/>
      <c r="Q14" s="62" t="s">
        <v>33</v>
      </c>
    </row>
    <row r="15" spans="1:17" ht="15" customHeight="1">
      <c r="A15" s="10">
        <v>12</v>
      </c>
      <c r="B15" s="10" t="s">
        <v>36</v>
      </c>
      <c r="C15" s="10">
        <v>-68.14</v>
      </c>
      <c r="D15" s="10">
        <v>44.88</v>
      </c>
      <c r="E15" s="62">
        <v>2283</v>
      </c>
      <c r="F15" s="62">
        <v>2120.6999999999998</v>
      </c>
      <c r="G15" s="62">
        <v>0.11</v>
      </c>
      <c r="H15" s="62">
        <v>705</v>
      </c>
      <c r="I15" s="62">
        <v>604.4</v>
      </c>
      <c r="J15" s="62">
        <v>222.15999999999997</v>
      </c>
      <c r="K15" s="62"/>
      <c r="L15" s="62"/>
      <c r="M15" s="12" t="s">
        <v>18</v>
      </c>
      <c r="N15" s="62"/>
      <c r="O15" s="62"/>
      <c r="P15" s="62"/>
      <c r="Q15" s="62" t="s">
        <v>33</v>
      </c>
    </row>
    <row r="16" spans="1:17" ht="15" customHeight="1">
      <c r="A16" s="10">
        <v>13</v>
      </c>
      <c r="B16" s="10" t="s">
        <v>37</v>
      </c>
      <c r="C16" s="10">
        <v>-68.12</v>
      </c>
      <c r="D16" s="10">
        <v>44.88</v>
      </c>
      <c r="E16" s="62">
        <f>2*1000</f>
        <v>2000</v>
      </c>
      <c r="F16" s="62"/>
      <c r="G16" s="62"/>
      <c r="H16" s="62"/>
      <c r="I16" s="62"/>
      <c r="J16" s="62"/>
      <c r="K16" s="62"/>
      <c r="L16" s="62"/>
      <c r="M16" s="12" t="s">
        <v>18</v>
      </c>
      <c r="N16" s="62" t="s">
        <v>38</v>
      </c>
      <c r="O16" s="62"/>
      <c r="P16" s="62"/>
      <c r="Q16" s="62" t="s">
        <v>39</v>
      </c>
    </row>
    <row r="17" spans="1:17" ht="15" customHeight="1">
      <c r="A17" s="10">
        <v>14</v>
      </c>
      <c r="B17" s="10" t="s">
        <v>40</v>
      </c>
      <c r="C17" s="10">
        <v>-68.12</v>
      </c>
      <c r="D17" s="10">
        <v>44.88</v>
      </c>
      <c r="E17" s="62">
        <f>2.19*1000</f>
        <v>2190</v>
      </c>
      <c r="F17" s="62"/>
      <c r="G17" s="62"/>
      <c r="H17" s="62"/>
      <c r="I17" s="62"/>
      <c r="J17" s="62"/>
      <c r="K17" s="62"/>
      <c r="L17" s="62"/>
      <c r="M17" s="12" t="s">
        <v>18</v>
      </c>
      <c r="N17" s="62" t="s">
        <v>38</v>
      </c>
      <c r="O17" s="62"/>
      <c r="P17" s="62"/>
      <c r="Q17" s="62" t="s">
        <v>39</v>
      </c>
    </row>
    <row r="18" spans="1:17" ht="15" customHeight="1">
      <c r="A18" s="10">
        <v>131</v>
      </c>
      <c r="B18" s="10" t="s">
        <v>41</v>
      </c>
      <c r="C18" s="10">
        <v>-68.12</v>
      </c>
      <c r="D18" s="10">
        <v>44.88</v>
      </c>
      <c r="E18" s="62">
        <f>1.68*1000</f>
        <v>1680</v>
      </c>
      <c r="F18" s="62"/>
      <c r="G18" s="62"/>
      <c r="H18" s="62"/>
      <c r="I18" s="62"/>
      <c r="J18" s="62"/>
      <c r="K18" s="62"/>
      <c r="L18" s="62"/>
      <c r="M18" s="12" t="s">
        <v>18</v>
      </c>
      <c r="N18" s="62" t="s">
        <v>38</v>
      </c>
      <c r="O18" s="62"/>
      <c r="P18" s="62"/>
      <c r="Q18" s="62" t="s">
        <v>39</v>
      </c>
    </row>
    <row r="19" spans="1:17" ht="15" customHeight="1">
      <c r="A19" s="10">
        <v>15</v>
      </c>
      <c r="B19" s="10" t="s">
        <v>42</v>
      </c>
      <c r="C19" s="10">
        <v>-68.099999999999994</v>
      </c>
      <c r="D19" s="10">
        <v>44.88</v>
      </c>
      <c r="E19" s="62">
        <f>2.89*1000</f>
        <v>2890</v>
      </c>
      <c r="F19" s="62"/>
      <c r="G19" s="62"/>
      <c r="H19" s="62"/>
      <c r="I19" s="62"/>
      <c r="J19" s="62"/>
      <c r="K19" s="62"/>
      <c r="L19" s="62"/>
      <c r="M19" s="12" t="s">
        <v>18</v>
      </c>
      <c r="N19" s="62" t="s">
        <v>38</v>
      </c>
      <c r="O19" s="62"/>
      <c r="P19" s="62"/>
      <c r="Q19" s="62" t="s">
        <v>39</v>
      </c>
    </row>
    <row r="20" spans="1:17" ht="15" customHeight="1">
      <c r="A20" s="10">
        <v>16</v>
      </c>
      <c r="B20" s="10" t="s">
        <v>43</v>
      </c>
      <c r="C20" s="10">
        <v>-68.12</v>
      </c>
      <c r="D20" s="10">
        <v>44.88</v>
      </c>
      <c r="E20" s="62">
        <f>2.09*1000</f>
        <v>2090</v>
      </c>
      <c r="F20" s="62"/>
      <c r="G20" s="62"/>
      <c r="H20" s="62"/>
      <c r="I20" s="62"/>
      <c r="J20" s="62"/>
      <c r="K20" s="62"/>
      <c r="L20" s="62"/>
      <c r="M20" s="12" t="s">
        <v>18</v>
      </c>
      <c r="N20" s="62" t="s">
        <v>38</v>
      </c>
      <c r="O20" s="62"/>
      <c r="P20" s="62"/>
      <c r="Q20" s="62" t="s">
        <v>39</v>
      </c>
    </row>
    <row r="21" spans="1:17" ht="15" customHeight="1">
      <c r="A21" s="10">
        <v>17</v>
      </c>
      <c r="B21" s="10" t="s">
        <v>44</v>
      </c>
      <c r="C21" s="10">
        <v>-68.14</v>
      </c>
      <c r="D21" s="10">
        <v>44.88</v>
      </c>
      <c r="E21" s="62">
        <f>1.65*1000</f>
        <v>1650</v>
      </c>
      <c r="F21" s="62"/>
      <c r="G21" s="62"/>
      <c r="H21" s="62"/>
      <c r="I21" s="62"/>
      <c r="J21" s="62"/>
      <c r="K21" s="62"/>
      <c r="L21" s="62"/>
      <c r="M21" s="12" t="s">
        <v>18</v>
      </c>
      <c r="N21" s="62" t="s">
        <v>38</v>
      </c>
      <c r="O21" s="62"/>
      <c r="P21" s="62"/>
      <c r="Q21" s="62" t="s">
        <v>39</v>
      </c>
    </row>
    <row r="22" spans="1:17" ht="15" customHeight="1">
      <c r="A22" s="62">
        <v>167</v>
      </c>
      <c r="B22" s="62" t="s">
        <v>45</v>
      </c>
      <c r="C22" s="10">
        <v>-80.582999999999998</v>
      </c>
      <c r="D22" s="10">
        <v>8.6669999999999998</v>
      </c>
      <c r="E22" s="62">
        <v>3096.5</v>
      </c>
      <c r="F22" s="62">
        <v>2897.9</v>
      </c>
      <c r="G22" s="62">
        <v>285.10000000000002</v>
      </c>
      <c r="H22" s="62">
        <v>21.8</v>
      </c>
      <c r="I22" s="62">
        <v>614.6</v>
      </c>
      <c r="J22" s="62"/>
      <c r="K22" s="62"/>
      <c r="L22" s="62"/>
      <c r="M22" s="12" t="s">
        <v>18</v>
      </c>
      <c r="N22" s="62" t="s">
        <v>46</v>
      </c>
      <c r="O22" s="62">
        <v>3.28</v>
      </c>
      <c r="P22" s="62"/>
      <c r="Q22" s="62" t="s">
        <v>47</v>
      </c>
    </row>
    <row r="23" spans="1:17" s="13" customFormat="1" ht="15" customHeight="1">
      <c r="A23" s="62">
        <v>168</v>
      </c>
      <c r="B23" s="62" t="s">
        <v>48</v>
      </c>
      <c r="C23" s="10">
        <v>-80.582999999999998</v>
      </c>
      <c r="D23" s="10">
        <v>8.6669999999999998</v>
      </c>
      <c r="E23" s="62">
        <v>4369.3999999999996</v>
      </c>
      <c r="F23" s="62">
        <v>4091.4</v>
      </c>
      <c r="G23" s="62">
        <v>287.2</v>
      </c>
      <c r="H23" s="62">
        <v>4.2</v>
      </c>
      <c r="I23" s="62">
        <v>542.20000000000005</v>
      </c>
      <c r="J23" s="62"/>
      <c r="K23" s="62"/>
      <c r="L23" s="62"/>
      <c r="M23" s="12" t="s">
        <v>18</v>
      </c>
      <c r="N23" s="62"/>
      <c r="O23" s="62">
        <v>3.55</v>
      </c>
      <c r="P23" s="62"/>
      <c r="Q23" s="62" t="s">
        <v>47</v>
      </c>
    </row>
    <row r="24" spans="1:17" s="48" customFormat="1" ht="15" customHeight="1">
      <c r="A24" s="62">
        <v>169</v>
      </c>
      <c r="B24" s="62" t="s">
        <v>49</v>
      </c>
      <c r="C24" s="10">
        <v>-80.233000000000004</v>
      </c>
      <c r="D24" s="10">
        <v>8.6999999999999993</v>
      </c>
      <c r="E24" s="62">
        <v>3643.8</v>
      </c>
      <c r="F24" s="62">
        <v>3505.6</v>
      </c>
      <c r="G24" s="62">
        <v>574.1</v>
      </c>
      <c r="H24" s="62">
        <v>165.8</v>
      </c>
      <c r="I24" s="62">
        <v>306.10000000000002</v>
      </c>
      <c r="J24" s="62"/>
      <c r="K24" s="62"/>
      <c r="L24" s="62"/>
      <c r="M24" s="12" t="s">
        <v>18</v>
      </c>
      <c r="N24" s="62"/>
      <c r="O24" s="62">
        <v>3.37</v>
      </c>
      <c r="P24" s="62"/>
      <c r="Q24" s="62" t="s">
        <v>47</v>
      </c>
    </row>
    <row r="25" spans="1:17" s="48" customFormat="1" ht="15" customHeight="1">
      <c r="A25" s="62">
        <v>170</v>
      </c>
      <c r="B25" s="62" t="s">
        <v>50</v>
      </c>
      <c r="C25" s="10">
        <v>-80.233000000000004</v>
      </c>
      <c r="D25" s="10">
        <v>8.6999999999999993</v>
      </c>
      <c r="E25" s="62">
        <v>3858.4</v>
      </c>
      <c r="F25" s="62">
        <v>3441.2</v>
      </c>
      <c r="G25" s="62">
        <v>403.3</v>
      </c>
      <c r="H25" s="62">
        <v>2.5</v>
      </c>
      <c r="I25" s="62">
        <v>1150.7</v>
      </c>
      <c r="J25" s="62"/>
      <c r="K25" s="62"/>
      <c r="L25" s="62"/>
      <c r="M25" s="12" t="s">
        <v>18</v>
      </c>
      <c r="N25" s="62"/>
      <c r="O25" s="62">
        <v>2.0099999999999998</v>
      </c>
      <c r="P25" s="62"/>
      <c r="Q25" s="62" t="s">
        <v>47</v>
      </c>
    </row>
    <row r="26" spans="1:17" s="14" customFormat="1" ht="15" customHeight="1">
      <c r="A26" s="49">
        <v>18</v>
      </c>
      <c r="B26" s="49" t="s">
        <v>51</v>
      </c>
      <c r="C26" s="49">
        <v>-83.45</v>
      </c>
      <c r="D26" s="49">
        <v>35.06</v>
      </c>
      <c r="E26" s="62">
        <v>11872.191712431319</v>
      </c>
      <c r="F26" s="65"/>
      <c r="G26" s="65"/>
      <c r="H26" s="65"/>
      <c r="I26" s="65"/>
      <c r="J26" s="65"/>
      <c r="K26" s="65"/>
      <c r="L26" s="65"/>
      <c r="M26" s="65"/>
      <c r="N26" s="50" t="s">
        <v>52</v>
      </c>
      <c r="O26" s="65"/>
      <c r="P26" s="65"/>
      <c r="Q26" s="65"/>
    </row>
    <row r="27" spans="1:17" s="15" customFormat="1" ht="15" customHeight="1">
      <c r="A27" s="51">
        <v>19</v>
      </c>
      <c r="B27" s="51" t="s">
        <v>53</v>
      </c>
      <c r="C27" s="51">
        <v>-83.44</v>
      </c>
      <c r="D27" s="51">
        <v>35.06</v>
      </c>
      <c r="E27" s="62"/>
      <c r="F27" s="66"/>
      <c r="G27" s="66"/>
      <c r="H27" s="66"/>
      <c r="I27" s="66"/>
      <c r="J27" s="66"/>
      <c r="K27" s="66"/>
      <c r="L27" s="66"/>
      <c r="M27" s="66"/>
      <c r="N27" s="52"/>
      <c r="O27" s="66"/>
      <c r="P27" s="66"/>
      <c r="Q27" s="66"/>
    </row>
    <row r="28" spans="1:17" ht="15" customHeight="1">
      <c r="A28" s="63">
        <v>21</v>
      </c>
      <c r="B28" s="63" t="s">
        <v>54</v>
      </c>
      <c r="C28" s="10">
        <v>-111.85</v>
      </c>
      <c r="D28" s="10">
        <v>36.5</v>
      </c>
      <c r="E28" s="63">
        <v>7.9672000000000001</v>
      </c>
      <c r="F28" s="63">
        <v>7.3316999999999997</v>
      </c>
      <c r="G28" s="63">
        <v>0</v>
      </c>
      <c r="H28" s="63">
        <v>0</v>
      </c>
      <c r="I28" s="63">
        <v>0.45040000000000002</v>
      </c>
      <c r="J28" s="63">
        <v>1.1032</v>
      </c>
      <c r="K28" s="63">
        <v>5.7781000000000002</v>
      </c>
      <c r="L28" s="63"/>
      <c r="M28" s="63" t="s">
        <v>55</v>
      </c>
      <c r="N28" s="63" t="s">
        <v>56</v>
      </c>
      <c r="O28" s="63"/>
      <c r="P28" s="62"/>
      <c r="Q28" s="62"/>
    </row>
    <row r="29" spans="1:17" ht="15" customHeight="1">
      <c r="A29" s="63">
        <v>22</v>
      </c>
      <c r="B29" s="63" t="s">
        <v>57</v>
      </c>
      <c r="C29" s="10">
        <v>-111.81</v>
      </c>
      <c r="D29" s="10">
        <v>36.17</v>
      </c>
      <c r="E29" s="63">
        <v>1.312966667</v>
      </c>
      <c r="F29" s="63">
        <v>1.0054666670000001</v>
      </c>
      <c r="G29" s="63">
        <v>0</v>
      </c>
      <c r="H29" s="63">
        <v>0</v>
      </c>
      <c r="I29" s="63">
        <v>0.17443333329999999</v>
      </c>
      <c r="J29" s="63">
        <v>0.54896666670000005</v>
      </c>
      <c r="K29" s="63">
        <v>0.28206666670000002</v>
      </c>
      <c r="L29" s="63"/>
      <c r="M29" s="63" t="s">
        <v>55</v>
      </c>
      <c r="N29" s="63" t="s">
        <v>56</v>
      </c>
      <c r="O29" s="63"/>
      <c r="P29" s="62"/>
      <c r="Q29" s="62"/>
    </row>
    <row r="30" spans="1:17" ht="15" customHeight="1">
      <c r="A30" s="63">
        <v>23</v>
      </c>
      <c r="B30" s="63" t="s">
        <v>58</v>
      </c>
      <c r="C30" s="10">
        <v>-112.49</v>
      </c>
      <c r="D30" s="10">
        <v>36.28</v>
      </c>
      <c r="E30" s="63">
        <v>1.0112333330000001</v>
      </c>
      <c r="F30" s="63">
        <v>0.97936666670000005</v>
      </c>
      <c r="G30" s="63">
        <v>0</v>
      </c>
      <c r="H30" s="63">
        <v>0</v>
      </c>
      <c r="I30" s="63">
        <v>1.786666667E-2</v>
      </c>
      <c r="J30" s="63">
        <v>0.43780000000000002</v>
      </c>
      <c r="K30" s="63">
        <v>0.52370000000000005</v>
      </c>
      <c r="L30" s="63"/>
      <c r="M30" s="63" t="s">
        <v>55</v>
      </c>
      <c r="N30" s="63" t="s">
        <v>56</v>
      </c>
      <c r="O30" s="63"/>
      <c r="P30" s="62"/>
      <c r="Q30" s="62"/>
    </row>
    <row r="31" spans="1:17" ht="15" customHeight="1">
      <c r="A31" s="63">
        <v>24</v>
      </c>
      <c r="B31" s="63" t="s">
        <v>59</v>
      </c>
      <c r="C31" s="10">
        <v>-112.85</v>
      </c>
      <c r="D31" s="10">
        <v>36.72</v>
      </c>
      <c r="E31" s="63">
        <v>1.5205333329999999</v>
      </c>
      <c r="F31" s="63">
        <v>1.2675666670000001</v>
      </c>
      <c r="G31" s="63">
        <v>6.9999999999999999E-4</v>
      </c>
      <c r="H31" s="63">
        <v>0</v>
      </c>
      <c r="I31" s="63">
        <v>5.7233333329999997E-2</v>
      </c>
      <c r="J31" s="63">
        <v>0.63456666669999995</v>
      </c>
      <c r="K31" s="63">
        <v>0.57506666669999995</v>
      </c>
      <c r="L31" s="63"/>
      <c r="M31" s="63" t="s">
        <v>55</v>
      </c>
      <c r="N31" s="63" t="s">
        <v>56</v>
      </c>
      <c r="O31" s="63"/>
      <c r="P31" s="62"/>
      <c r="Q31" s="62"/>
    </row>
    <row r="32" spans="1:17" ht="15" customHeight="1">
      <c r="A32" s="63">
        <v>25</v>
      </c>
      <c r="B32" s="63" t="s">
        <v>60</v>
      </c>
      <c r="C32" s="10">
        <v>-113.36</v>
      </c>
      <c r="D32" s="10">
        <v>35.770000000000003</v>
      </c>
      <c r="E32" s="63">
        <v>1.407</v>
      </c>
      <c r="F32" s="63">
        <v>1.1706333330000001</v>
      </c>
      <c r="G32" s="63">
        <v>0</v>
      </c>
      <c r="H32" s="63">
        <v>0</v>
      </c>
      <c r="I32" s="63">
        <v>5.9333333330000002E-2</v>
      </c>
      <c r="J32" s="63">
        <v>0.5756666667</v>
      </c>
      <c r="K32" s="63">
        <v>0.53563333329999996</v>
      </c>
      <c r="L32" s="63"/>
      <c r="M32" s="63" t="s">
        <v>55</v>
      </c>
      <c r="N32" s="63" t="s">
        <v>56</v>
      </c>
      <c r="O32" s="63"/>
      <c r="P32" s="62"/>
      <c r="Q32" s="62"/>
    </row>
    <row r="33" spans="1:17" s="15" customFormat="1" ht="15" customHeight="1">
      <c r="A33" s="51">
        <v>132</v>
      </c>
      <c r="B33" s="51" t="s">
        <v>61</v>
      </c>
      <c r="C33" s="51">
        <v>-84.225999999999999</v>
      </c>
      <c r="D33" s="51">
        <v>46.368000000000002</v>
      </c>
      <c r="E33" s="62"/>
      <c r="F33" s="66"/>
      <c r="G33" s="66"/>
      <c r="H33" s="66"/>
      <c r="I33" s="66"/>
      <c r="J33" s="66"/>
      <c r="K33" s="66"/>
      <c r="L33" s="66"/>
      <c r="M33" s="66"/>
      <c r="N33" s="66" t="s">
        <v>62</v>
      </c>
      <c r="O33" s="66"/>
      <c r="P33" s="66"/>
      <c r="Q33" s="66"/>
    </row>
    <row r="34" spans="1:17" ht="15" customHeight="1">
      <c r="A34" s="10">
        <v>134</v>
      </c>
      <c r="B34" s="10" t="s">
        <v>63</v>
      </c>
      <c r="C34" s="62">
        <v>-83.084000000000003</v>
      </c>
      <c r="D34" s="62">
        <v>42.307000000000002</v>
      </c>
      <c r="E34" s="62">
        <v>5.4</v>
      </c>
      <c r="F34" s="62"/>
      <c r="G34" s="62"/>
      <c r="H34" s="62"/>
      <c r="I34" s="62"/>
      <c r="J34" s="62"/>
      <c r="K34" s="62"/>
      <c r="L34" s="62"/>
      <c r="M34" s="12" t="s">
        <v>55</v>
      </c>
      <c r="N34" s="62" t="s">
        <v>64</v>
      </c>
      <c r="O34" s="62">
        <v>3000</v>
      </c>
      <c r="P34" s="62">
        <v>598000</v>
      </c>
      <c r="Q34" s="62" t="s">
        <v>65</v>
      </c>
    </row>
    <row r="35" spans="1:17" ht="15" customHeight="1">
      <c r="A35" s="10">
        <v>133</v>
      </c>
      <c r="B35" s="10" t="s">
        <v>66</v>
      </c>
      <c r="C35" s="62">
        <v>-82.507999999999996</v>
      </c>
      <c r="D35" s="62">
        <v>42.673999999999999</v>
      </c>
      <c r="E35" s="62">
        <v>7.4</v>
      </c>
      <c r="F35" s="62"/>
      <c r="G35" s="62"/>
      <c r="H35" s="62"/>
      <c r="I35" s="62"/>
      <c r="J35" s="62"/>
      <c r="K35" s="62"/>
      <c r="L35" s="62"/>
      <c r="M35" s="12" t="s">
        <v>55</v>
      </c>
      <c r="N35" s="62" t="s">
        <v>67</v>
      </c>
      <c r="O35" s="62">
        <v>250</v>
      </c>
      <c r="P35" s="62">
        <v>579000</v>
      </c>
      <c r="Q35" s="62" t="s">
        <v>65</v>
      </c>
    </row>
    <row r="36" spans="1:17" ht="15" customHeight="1">
      <c r="A36" s="10">
        <v>135</v>
      </c>
      <c r="B36" s="10" t="s">
        <v>68</v>
      </c>
      <c r="C36" s="62">
        <v>-75.888999999999996</v>
      </c>
      <c r="D36" s="62">
        <v>44.366</v>
      </c>
      <c r="E36" s="62">
        <v>13.4</v>
      </c>
      <c r="F36" s="62"/>
      <c r="G36" s="62"/>
      <c r="H36" s="62"/>
      <c r="I36" s="62"/>
      <c r="J36" s="62"/>
      <c r="K36" s="62"/>
      <c r="L36" s="62"/>
      <c r="M36" s="12" t="s">
        <v>55</v>
      </c>
      <c r="N36" s="62"/>
      <c r="O36" s="62"/>
      <c r="P36" s="62">
        <v>766000</v>
      </c>
      <c r="Q36" s="62" t="s">
        <v>65</v>
      </c>
    </row>
    <row r="37" spans="1:17" ht="15" customHeight="1">
      <c r="A37" s="10">
        <v>26</v>
      </c>
      <c r="B37" s="10" t="s">
        <v>69</v>
      </c>
      <c r="C37" s="10">
        <v>-83.43</v>
      </c>
      <c r="D37" s="10">
        <v>35.06</v>
      </c>
      <c r="E37" s="10">
        <v>10111</v>
      </c>
      <c r="F37" s="10"/>
      <c r="G37" s="10"/>
      <c r="H37" s="10"/>
      <c r="I37" s="10"/>
      <c r="J37" s="10"/>
      <c r="K37" s="10"/>
      <c r="L37" s="10"/>
      <c r="M37" s="12" t="s">
        <v>18</v>
      </c>
      <c r="N37" s="10" t="s">
        <v>70</v>
      </c>
      <c r="O37" s="10"/>
      <c r="P37" s="10" t="s">
        <v>71</v>
      </c>
      <c r="Q37" s="10" t="s">
        <v>72</v>
      </c>
    </row>
    <row r="38" spans="1:17" ht="15" customHeight="1">
      <c r="A38" s="10">
        <v>27</v>
      </c>
      <c r="B38" s="10" t="s">
        <v>73</v>
      </c>
      <c r="C38" s="10">
        <v>-83.43</v>
      </c>
      <c r="D38" s="10">
        <v>35.049999999999997</v>
      </c>
      <c r="E38" s="10">
        <v>9276</v>
      </c>
      <c r="F38" s="10"/>
      <c r="G38" s="10"/>
      <c r="H38" s="10"/>
      <c r="I38" s="10"/>
      <c r="J38" s="10"/>
      <c r="K38" s="10"/>
      <c r="L38" s="10"/>
      <c r="M38" s="12" t="s">
        <v>18</v>
      </c>
      <c r="N38" s="10" t="s">
        <v>70</v>
      </c>
      <c r="O38" s="10"/>
      <c r="P38" s="10" t="s">
        <v>74</v>
      </c>
      <c r="Q38" s="10" t="s">
        <v>72</v>
      </c>
    </row>
    <row r="39" spans="1:17" ht="15" customHeight="1">
      <c r="A39" s="10">
        <v>28</v>
      </c>
      <c r="B39" s="10" t="s">
        <v>75</v>
      </c>
      <c r="C39" s="10">
        <v>-88.9</v>
      </c>
      <c r="D39" s="10">
        <v>46.47</v>
      </c>
      <c r="E39" s="62">
        <v>0.9</v>
      </c>
      <c r="F39" s="62"/>
      <c r="G39" s="62"/>
      <c r="H39" s="62"/>
      <c r="I39" s="62"/>
      <c r="J39" s="62"/>
      <c r="K39" s="62"/>
      <c r="L39" s="62"/>
      <c r="M39" s="62" t="s">
        <v>55</v>
      </c>
      <c r="N39" s="10" t="s">
        <v>76</v>
      </c>
      <c r="O39" s="62">
        <v>2.4</v>
      </c>
      <c r="P39" s="62"/>
      <c r="Q39" s="62" t="s">
        <v>77</v>
      </c>
    </row>
    <row r="40" spans="1:17" ht="15" customHeight="1">
      <c r="A40" s="10">
        <v>28</v>
      </c>
      <c r="B40" s="10" t="s">
        <v>78</v>
      </c>
      <c r="C40" s="10">
        <v>-88.9</v>
      </c>
      <c r="D40" s="10">
        <v>46.47</v>
      </c>
      <c r="E40" s="62">
        <v>1.5</v>
      </c>
      <c r="F40" s="62"/>
      <c r="G40" s="62"/>
      <c r="H40" s="62"/>
      <c r="I40" s="62"/>
      <c r="J40" s="62"/>
      <c r="K40" s="62"/>
      <c r="L40" s="62"/>
      <c r="M40" s="62" t="s">
        <v>55</v>
      </c>
      <c r="N40" s="62"/>
      <c r="O40" s="62">
        <v>2.5</v>
      </c>
      <c r="P40" s="62"/>
      <c r="Q40" s="62" t="s">
        <v>77</v>
      </c>
    </row>
    <row r="41" spans="1:17" ht="15" customHeight="1">
      <c r="A41" s="10">
        <v>28</v>
      </c>
      <c r="B41" s="10" t="s">
        <v>79</v>
      </c>
      <c r="C41" s="10">
        <v>-88.9</v>
      </c>
      <c r="D41" s="10">
        <v>46.47</v>
      </c>
      <c r="E41" s="62">
        <v>1.1000000000000001</v>
      </c>
      <c r="F41" s="62"/>
      <c r="G41" s="62"/>
      <c r="H41" s="62"/>
      <c r="I41" s="62"/>
      <c r="J41" s="62"/>
      <c r="K41" s="62"/>
      <c r="L41" s="62"/>
      <c r="M41" s="62" t="s">
        <v>55</v>
      </c>
      <c r="N41" s="62"/>
      <c r="O41" s="62">
        <v>2.5</v>
      </c>
      <c r="P41" s="62"/>
      <c r="Q41" s="62" t="s">
        <v>77</v>
      </c>
    </row>
    <row r="42" spans="1:17" ht="15" customHeight="1">
      <c r="A42" s="10">
        <v>30</v>
      </c>
      <c r="B42" s="10" t="s">
        <v>80</v>
      </c>
      <c r="C42" s="10">
        <v>-88.9</v>
      </c>
      <c r="D42" s="10">
        <v>46.42</v>
      </c>
      <c r="E42" s="62">
        <v>3.1</v>
      </c>
      <c r="F42" s="62"/>
      <c r="G42" s="62"/>
      <c r="H42" s="62"/>
      <c r="I42" s="62"/>
      <c r="J42" s="62"/>
      <c r="K42" s="62"/>
      <c r="L42" s="62"/>
      <c r="M42" s="62" t="s">
        <v>55</v>
      </c>
      <c r="N42" s="10" t="s">
        <v>76</v>
      </c>
      <c r="O42" s="62">
        <v>2.1</v>
      </c>
      <c r="P42" s="62"/>
      <c r="Q42" s="62" t="s">
        <v>77</v>
      </c>
    </row>
    <row r="43" spans="1:17" ht="15" customHeight="1">
      <c r="A43" s="10">
        <v>30</v>
      </c>
      <c r="B43" s="10" t="s">
        <v>81</v>
      </c>
      <c r="C43" s="10">
        <v>-88.9</v>
      </c>
      <c r="D43" s="10">
        <v>46.42</v>
      </c>
      <c r="E43" s="62">
        <v>1.6</v>
      </c>
      <c r="F43" s="62"/>
      <c r="G43" s="62"/>
      <c r="H43" s="62"/>
      <c r="I43" s="62"/>
      <c r="J43" s="62"/>
      <c r="K43" s="62"/>
      <c r="L43" s="62"/>
      <c r="M43" s="62" t="s">
        <v>55</v>
      </c>
      <c r="N43" s="62"/>
      <c r="O43" s="62">
        <v>2.2999999999999998</v>
      </c>
      <c r="P43" s="62"/>
      <c r="Q43" s="62" t="s">
        <v>77</v>
      </c>
    </row>
    <row r="44" spans="1:17" ht="15" customHeight="1">
      <c r="A44" s="10">
        <v>30</v>
      </c>
      <c r="B44" s="10" t="s">
        <v>82</v>
      </c>
      <c r="C44" s="10">
        <v>-88.9</v>
      </c>
      <c r="D44" s="10">
        <v>46.42</v>
      </c>
      <c r="E44" s="62">
        <v>2.7</v>
      </c>
      <c r="F44" s="62"/>
      <c r="G44" s="62"/>
      <c r="H44" s="62"/>
      <c r="I44" s="62"/>
      <c r="J44" s="62"/>
      <c r="K44" s="62"/>
      <c r="L44" s="62"/>
      <c r="M44" s="62" t="s">
        <v>55</v>
      </c>
      <c r="N44" s="62"/>
      <c r="O44" s="62">
        <v>2.2999999999999998</v>
      </c>
      <c r="P44" s="62"/>
      <c r="Q44" s="62" t="s">
        <v>77</v>
      </c>
    </row>
    <row r="45" spans="1:17" ht="15" customHeight="1">
      <c r="A45" s="10">
        <v>32</v>
      </c>
      <c r="B45" s="10" t="s">
        <v>83</v>
      </c>
      <c r="C45" s="10">
        <v>-88.9</v>
      </c>
      <c r="D45" s="10">
        <v>46.44</v>
      </c>
      <c r="E45" s="62">
        <v>1.1000000000000001</v>
      </c>
      <c r="F45" s="62"/>
      <c r="G45" s="62"/>
      <c r="H45" s="62"/>
      <c r="I45" s="62"/>
      <c r="J45" s="62"/>
      <c r="K45" s="62"/>
      <c r="L45" s="62"/>
      <c r="M45" s="62" t="s">
        <v>55</v>
      </c>
      <c r="N45" s="10" t="s">
        <v>76</v>
      </c>
      <c r="O45" s="62">
        <v>1.8</v>
      </c>
      <c r="P45" s="62"/>
      <c r="Q45" s="62" t="s">
        <v>77</v>
      </c>
    </row>
    <row r="46" spans="1:17" ht="15" customHeight="1">
      <c r="A46" s="10">
        <v>32</v>
      </c>
      <c r="B46" s="10" t="s">
        <v>84</v>
      </c>
      <c r="C46" s="10">
        <v>-88.9</v>
      </c>
      <c r="D46" s="10">
        <v>46.44</v>
      </c>
      <c r="E46" s="62">
        <v>1.3</v>
      </c>
      <c r="F46" s="62"/>
      <c r="G46" s="62"/>
      <c r="H46" s="62"/>
      <c r="I46" s="62"/>
      <c r="J46" s="62"/>
      <c r="K46" s="62"/>
      <c r="L46" s="62"/>
      <c r="M46" s="62" t="s">
        <v>55</v>
      </c>
      <c r="N46" s="62"/>
      <c r="O46" s="62">
        <v>2.4</v>
      </c>
      <c r="P46" s="62"/>
      <c r="Q46" s="62" t="s">
        <v>77</v>
      </c>
    </row>
    <row r="47" spans="1:17" ht="15" customHeight="1">
      <c r="A47" s="10">
        <v>32</v>
      </c>
      <c r="B47" s="10" t="s">
        <v>85</v>
      </c>
      <c r="C47" s="10">
        <v>-88.9</v>
      </c>
      <c r="D47" s="10">
        <v>46.44</v>
      </c>
      <c r="E47" s="62">
        <v>0.9</v>
      </c>
      <c r="F47" s="62"/>
      <c r="G47" s="62"/>
      <c r="H47" s="62"/>
      <c r="I47" s="62"/>
      <c r="J47" s="62"/>
      <c r="K47" s="62"/>
      <c r="L47" s="62"/>
      <c r="M47" s="62" t="s">
        <v>55</v>
      </c>
      <c r="N47" s="62"/>
      <c r="O47" s="62">
        <v>2.4</v>
      </c>
      <c r="P47" s="62"/>
      <c r="Q47" s="62" t="s">
        <v>77</v>
      </c>
    </row>
    <row r="48" spans="1:17" ht="15" customHeight="1">
      <c r="A48" s="10">
        <v>34</v>
      </c>
      <c r="B48" s="10" t="s">
        <v>86</v>
      </c>
      <c r="C48" s="10">
        <v>-72.510000000000005</v>
      </c>
      <c r="D48" s="10">
        <v>42.35</v>
      </c>
      <c r="E48" s="10">
        <v>3.32</v>
      </c>
      <c r="F48" s="10"/>
      <c r="G48" s="10"/>
      <c r="H48" s="10"/>
      <c r="I48" s="10"/>
      <c r="J48" s="10"/>
      <c r="K48" s="10"/>
      <c r="L48" s="10"/>
      <c r="M48" s="12" t="s">
        <v>87</v>
      </c>
      <c r="N48" s="10"/>
      <c r="O48" s="10">
        <v>14</v>
      </c>
      <c r="P48" s="10">
        <v>105</v>
      </c>
      <c r="Q48" s="10" t="s">
        <v>72</v>
      </c>
    </row>
    <row r="49" spans="1:17" s="15" customFormat="1" ht="15" customHeight="1">
      <c r="A49" s="51">
        <v>35</v>
      </c>
      <c r="B49" s="51" t="s">
        <v>88</v>
      </c>
      <c r="C49" s="51">
        <v>-111.5</v>
      </c>
      <c r="D49" s="51">
        <v>33.75</v>
      </c>
      <c r="E49" s="62"/>
      <c r="F49" s="66"/>
      <c r="G49" s="66"/>
      <c r="H49" s="66"/>
      <c r="I49" s="66"/>
      <c r="J49" s="66"/>
      <c r="K49" s="66"/>
      <c r="L49" s="66"/>
      <c r="M49" s="66"/>
      <c r="N49" s="66" t="s">
        <v>89</v>
      </c>
      <c r="O49" s="66"/>
      <c r="P49" s="66"/>
      <c r="Q49" s="66"/>
    </row>
    <row r="50" spans="1:17" ht="15" customHeight="1">
      <c r="A50" s="10">
        <v>38</v>
      </c>
      <c r="B50" s="10" t="s">
        <v>90</v>
      </c>
      <c r="C50" s="62">
        <v>-120</v>
      </c>
      <c r="D50" s="62">
        <v>47.61</v>
      </c>
      <c r="E50" s="62"/>
      <c r="F50" s="62">
        <v>23219</v>
      </c>
      <c r="G50" s="62">
        <v>884</v>
      </c>
      <c r="H50" s="62">
        <v>183</v>
      </c>
      <c r="I50" s="62">
        <v>2550</v>
      </c>
      <c r="J50" s="62">
        <v>4920</v>
      </c>
      <c r="K50" s="62">
        <f>9358-4920+44</f>
        <v>4482</v>
      </c>
      <c r="L50" s="62"/>
      <c r="M50" s="62" t="s">
        <v>23</v>
      </c>
      <c r="N50" s="62" t="s">
        <v>91</v>
      </c>
      <c r="O50" s="62"/>
      <c r="P50" s="62">
        <v>530</v>
      </c>
      <c r="Q50" s="62"/>
    </row>
    <row r="51" spans="1:17" ht="15" customHeight="1">
      <c r="A51" s="10">
        <v>39</v>
      </c>
      <c r="B51" s="10" t="s">
        <v>92</v>
      </c>
      <c r="C51" s="62">
        <v>-119.72</v>
      </c>
      <c r="D51" s="62">
        <v>46.46</v>
      </c>
      <c r="E51" s="62"/>
      <c r="F51" s="62">
        <v>16356</v>
      </c>
      <c r="G51" s="62">
        <v>2554</v>
      </c>
      <c r="H51" s="62"/>
      <c r="I51" s="62">
        <v>735</v>
      </c>
      <c r="J51" s="62">
        <v>489</v>
      </c>
      <c r="K51" s="62">
        <f>(12687-J51)+372</f>
        <v>12570</v>
      </c>
      <c r="L51" s="62"/>
      <c r="M51" s="62" t="s">
        <v>23</v>
      </c>
      <c r="N51" s="62"/>
      <c r="O51" s="62"/>
      <c r="P51" s="62">
        <v>350</v>
      </c>
      <c r="Q51" s="62"/>
    </row>
    <row r="52" spans="1:17" ht="15" customHeight="1">
      <c r="A52" s="10">
        <v>40</v>
      </c>
      <c r="B52" s="10" t="s">
        <v>93</v>
      </c>
      <c r="C52" s="62">
        <v>-119.79</v>
      </c>
      <c r="D52" s="62">
        <v>46.49</v>
      </c>
      <c r="E52" s="62"/>
      <c r="F52" s="62">
        <v>14154</v>
      </c>
      <c r="G52" s="62">
        <v>7077</v>
      </c>
      <c r="H52" s="62"/>
      <c r="I52" s="62">
        <v>1300</v>
      </c>
      <c r="J52" s="62">
        <v>1390</v>
      </c>
      <c r="K52" s="62">
        <f>5638-J52+139</f>
        <v>4387</v>
      </c>
      <c r="L52" s="62"/>
      <c r="M52" s="62" t="s">
        <v>23</v>
      </c>
      <c r="N52" s="62"/>
      <c r="O52" s="62"/>
      <c r="P52" s="62">
        <v>40</v>
      </c>
      <c r="Q52" s="62"/>
    </row>
    <row r="53" spans="1:17" s="51" customFormat="1" ht="15" customHeight="1">
      <c r="A53" s="51">
        <v>41</v>
      </c>
      <c r="B53" s="51" t="s">
        <v>94</v>
      </c>
      <c r="C53" s="51">
        <v>-83.43</v>
      </c>
      <c r="D53" s="51">
        <v>35.06</v>
      </c>
      <c r="E53" s="10"/>
      <c r="M53" s="53"/>
      <c r="N53" s="51" t="s">
        <v>95</v>
      </c>
      <c r="O53" s="51">
        <v>5.5</v>
      </c>
    </row>
    <row r="54" spans="1:17" ht="15" customHeight="1">
      <c r="A54" s="10">
        <v>42</v>
      </c>
      <c r="B54" s="10" t="s">
        <v>96</v>
      </c>
      <c r="C54" s="10">
        <v>-79.680000000000007</v>
      </c>
      <c r="D54" s="10">
        <v>39.049999999999997</v>
      </c>
      <c r="E54" s="62">
        <v>2061</v>
      </c>
      <c r="F54" s="66">
        <f>SUM(G54:K54)</f>
        <v>1666.2</v>
      </c>
      <c r="G54" s="62">
        <f>(12.3+26.1)</f>
        <v>38.400000000000006</v>
      </c>
      <c r="H54" s="62">
        <f>99.5+29+32.7+278.6+0.5</f>
        <v>440.3</v>
      </c>
      <c r="I54" s="62">
        <f>469+1.8</f>
        <v>470.8</v>
      </c>
      <c r="J54" s="62"/>
      <c r="K54" s="62">
        <f>49.7+3.3+663.7</f>
        <v>716.7</v>
      </c>
      <c r="L54" s="62"/>
      <c r="M54" s="62" t="s">
        <v>23</v>
      </c>
      <c r="N54" s="62" t="s">
        <v>97</v>
      </c>
      <c r="O54" s="62">
        <v>2</v>
      </c>
      <c r="P54" s="62"/>
      <c r="Q54" s="62"/>
    </row>
    <row r="55" spans="1:17" ht="15" customHeight="1">
      <c r="A55" s="10">
        <v>43</v>
      </c>
      <c r="B55" s="10" t="s">
        <v>98</v>
      </c>
      <c r="C55" s="10">
        <v>-79.680000000000007</v>
      </c>
      <c r="D55" s="10">
        <v>39.049999999999997</v>
      </c>
      <c r="E55" s="62">
        <v>1557</v>
      </c>
      <c r="F55" s="62">
        <f>SUM(G55:K55)</f>
        <v>1243.3000000000002</v>
      </c>
      <c r="G55" s="62">
        <v>73.2</v>
      </c>
      <c r="H55" s="62">
        <f>189.3+60.4+34+362.1</f>
        <v>645.80000000000007</v>
      </c>
      <c r="I55" s="62">
        <f>0.7+9.1+13.3+224.6</f>
        <v>247.7</v>
      </c>
      <c r="J55" s="62"/>
      <c r="K55" s="62">
        <f>6.2+15.4+255</f>
        <v>276.60000000000002</v>
      </c>
      <c r="L55" s="62"/>
      <c r="M55" s="62" t="s">
        <v>23</v>
      </c>
      <c r="N55" s="62"/>
      <c r="O55" s="62">
        <v>2</v>
      </c>
      <c r="P55" s="62"/>
      <c r="Q55" s="62"/>
    </row>
    <row r="56" spans="1:17" ht="15" customHeight="1">
      <c r="A56" s="10">
        <v>44</v>
      </c>
      <c r="B56" s="10" t="s">
        <v>99</v>
      </c>
      <c r="C56" s="10">
        <v>-79.66</v>
      </c>
      <c r="D56" s="10">
        <v>39.32</v>
      </c>
      <c r="E56" s="62">
        <v>3772</v>
      </c>
      <c r="F56" s="62">
        <f>SUM(G56:K56)</f>
        <v>888</v>
      </c>
      <c r="G56" s="62">
        <f>1.3+77.9</f>
        <v>79.2</v>
      </c>
      <c r="H56" s="62">
        <f>191.7+10.1+35.4+22.9</f>
        <v>260.09999999999997</v>
      </c>
      <c r="I56" s="62">
        <v>83.5</v>
      </c>
      <c r="J56" s="62"/>
      <c r="K56" s="62">
        <f>461.6+3.6</f>
        <v>465.20000000000005</v>
      </c>
      <c r="L56" s="62"/>
      <c r="M56" s="62" t="s">
        <v>23</v>
      </c>
      <c r="N56" s="62"/>
      <c r="O56" s="62">
        <v>2</v>
      </c>
      <c r="P56" s="62"/>
      <c r="Q56" s="62"/>
    </row>
    <row r="57" spans="1:17" ht="15" customHeight="1">
      <c r="A57" s="10">
        <v>45</v>
      </c>
      <c r="B57" s="10" t="s">
        <v>100</v>
      </c>
      <c r="C57" s="10">
        <v>-79.513000000000005</v>
      </c>
      <c r="D57" s="10">
        <v>39.052999999999997</v>
      </c>
      <c r="E57" s="62">
        <v>1189</v>
      </c>
      <c r="F57" s="62">
        <f>SUM(G57:K57)</f>
        <v>1060.6000000000001</v>
      </c>
      <c r="G57" s="62">
        <v>60.7</v>
      </c>
      <c r="H57" s="62">
        <f>523+221.7+52+106.2+3.9</f>
        <v>906.80000000000007</v>
      </c>
      <c r="I57" s="62">
        <f>1.8+0.3+5.8+82.8</f>
        <v>90.7</v>
      </c>
      <c r="J57" s="62"/>
      <c r="K57" s="62">
        <v>2.4</v>
      </c>
      <c r="L57" s="62"/>
      <c r="M57" s="62" t="s">
        <v>23</v>
      </c>
      <c r="N57" s="62"/>
      <c r="O57" s="62">
        <v>2.7</v>
      </c>
      <c r="P57" s="62"/>
      <c r="Q57" s="62"/>
    </row>
    <row r="58" spans="1:17" ht="15" customHeight="1">
      <c r="A58" s="10">
        <v>46</v>
      </c>
      <c r="B58" s="10" t="s">
        <v>101</v>
      </c>
      <c r="C58" s="10">
        <v>-83.4</v>
      </c>
      <c r="D58" s="10">
        <v>35.06</v>
      </c>
      <c r="E58" s="62">
        <v>6</v>
      </c>
      <c r="F58" s="62"/>
      <c r="G58" s="62"/>
      <c r="H58" s="62"/>
      <c r="I58" s="62"/>
      <c r="J58" s="62"/>
      <c r="K58" s="62"/>
      <c r="L58" s="62"/>
      <c r="M58" s="62" t="s">
        <v>55</v>
      </c>
      <c r="N58" s="62" t="s">
        <v>102</v>
      </c>
      <c r="O58" s="62"/>
      <c r="P58" s="62"/>
      <c r="Q58" s="62" t="s">
        <v>103</v>
      </c>
    </row>
    <row r="59" spans="1:17" ht="15" customHeight="1">
      <c r="A59" s="10">
        <v>47</v>
      </c>
      <c r="B59" s="10" t="s">
        <v>104</v>
      </c>
      <c r="C59" s="10">
        <v>-83.46</v>
      </c>
      <c r="D59" s="10">
        <v>35.04</v>
      </c>
      <c r="E59" s="62">
        <v>6</v>
      </c>
      <c r="F59" s="62"/>
      <c r="G59" s="62"/>
      <c r="H59" s="62"/>
      <c r="I59" s="62"/>
      <c r="J59" s="62"/>
      <c r="K59" s="62"/>
      <c r="L59" s="62"/>
      <c r="M59" s="62" t="s">
        <v>55</v>
      </c>
      <c r="N59" s="62" t="s">
        <v>102</v>
      </c>
      <c r="O59" s="62"/>
      <c r="P59" s="62"/>
      <c r="Q59" s="62"/>
    </row>
    <row r="60" spans="1:17" ht="15" customHeight="1">
      <c r="A60" s="10">
        <v>48</v>
      </c>
      <c r="B60" s="10" t="s">
        <v>105</v>
      </c>
      <c r="C60" s="10">
        <v>-83.4</v>
      </c>
      <c r="D60" s="10">
        <v>35.049999999999997</v>
      </c>
      <c r="E60" s="62">
        <v>5</v>
      </c>
      <c r="F60" s="10"/>
      <c r="G60" s="8"/>
      <c r="H60" s="8"/>
      <c r="I60" s="8"/>
      <c r="J60" s="62"/>
      <c r="K60" s="62"/>
      <c r="L60" s="62"/>
      <c r="M60" s="62" t="s">
        <v>55</v>
      </c>
      <c r="N60" s="62" t="s">
        <v>102</v>
      </c>
      <c r="O60" s="62"/>
      <c r="P60" s="62"/>
      <c r="Q60" s="62"/>
    </row>
    <row r="61" spans="1:17" ht="15" customHeight="1">
      <c r="A61" s="10">
        <v>49</v>
      </c>
      <c r="B61" s="10" t="s">
        <v>106</v>
      </c>
      <c r="C61" s="10">
        <v>-83.45</v>
      </c>
      <c r="D61" s="10">
        <v>35.04</v>
      </c>
      <c r="E61" s="62">
        <v>8</v>
      </c>
      <c r="F61" s="10"/>
      <c r="G61" s="8"/>
      <c r="H61" s="8"/>
      <c r="I61" s="8"/>
      <c r="J61" s="62"/>
      <c r="K61" s="62"/>
      <c r="L61" s="62"/>
      <c r="M61" s="62" t="s">
        <v>55</v>
      </c>
      <c r="N61" s="62" t="s">
        <v>102</v>
      </c>
      <c r="O61" s="62"/>
      <c r="P61" s="62"/>
      <c r="Q61" s="62"/>
    </row>
    <row r="62" spans="1:17" ht="15" customHeight="1">
      <c r="A62" s="10">
        <v>50</v>
      </c>
      <c r="B62" s="10" t="s">
        <v>107</v>
      </c>
      <c r="C62" s="10">
        <v>-83.4</v>
      </c>
      <c r="D62" s="10">
        <v>35.06</v>
      </c>
      <c r="E62" s="62">
        <v>13</v>
      </c>
      <c r="F62" s="10"/>
      <c r="G62" s="8"/>
      <c r="H62" s="8"/>
      <c r="I62" s="8"/>
      <c r="J62" s="62"/>
      <c r="K62" s="62"/>
      <c r="L62" s="62"/>
      <c r="M62" s="62" t="s">
        <v>55</v>
      </c>
      <c r="N62" s="62" t="s">
        <v>102</v>
      </c>
      <c r="O62" s="62"/>
      <c r="P62" s="62"/>
      <c r="Q62" s="62"/>
    </row>
    <row r="63" spans="1:17" ht="15" customHeight="1">
      <c r="A63" s="10">
        <v>51</v>
      </c>
      <c r="B63" s="10" t="s">
        <v>108</v>
      </c>
      <c r="C63" s="10">
        <v>-83.42</v>
      </c>
      <c r="D63" s="10">
        <v>35.06</v>
      </c>
      <c r="E63" s="62">
        <v>5</v>
      </c>
      <c r="F63" s="10"/>
      <c r="G63" s="8"/>
      <c r="H63" s="8"/>
      <c r="I63" s="8"/>
      <c r="J63" s="62"/>
      <c r="K63" s="62"/>
      <c r="L63" s="62"/>
      <c r="M63" s="62" t="s">
        <v>55</v>
      </c>
      <c r="N63" s="62" t="s">
        <v>102</v>
      </c>
      <c r="O63" s="62"/>
      <c r="P63" s="62"/>
      <c r="Q63" s="62"/>
    </row>
    <row r="64" spans="1:17" ht="15" customHeight="1">
      <c r="A64" s="10">
        <v>52</v>
      </c>
      <c r="B64" s="10" t="s">
        <v>109</v>
      </c>
      <c r="C64" s="10">
        <v>-83.39</v>
      </c>
      <c r="D64" s="10">
        <v>35.07</v>
      </c>
      <c r="E64" s="62">
        <v>21</v>
      </c>
      <c r="F64" s="10"/>
      <c r="G64" s="8"/>
      <c r="H64" s="8"/>
      <c r="I64" s="8"/>
      <c r="J64" s="62"/>
      <c r="K64" s="62"/>
      <c r="L64" s="62"/>
      <c r="M64" s="62" t="s">
        <v>55</v>
      </c>
      <c r="N64" s="62" t="s">
        <v>102</v>
      </c>
      <c r="O64" s="62"/>
      <c r="P64" s="62"/>
      <c r="Q64" s="62"/>
    </row>
    <row r="65" spans="1:17" ht="15" customHeight="1">
      <c r="A65" s="10">
        <v>53</v>
      </c>
      <c r="B65" s="10" t="s">
        <v>110</v>
      </c>
      <c r="C65" s="10">
        <v>-83.38</v>
      </c>
      <c r="D65" s="10">
        <v>35.08</v>
      </c>
      <c r="E65" s="62">
        <v>7</v>
      </c>
      <c r="F65" s="10"/>
      <c r="G65" s="8"/>
      <c r="H65" s="8"/>
      <c r="I65" s="8"/>
      <c r="J65" s="62"/>
      <c r="K65" s="62"/>
      <c r="L65" s="62"/>
      <c r="M65" s="62" t="s">
        <v>55</v>
      </c>
      <c r="N65" s="62" t="s">
        <v>102</v>
      </c>
      <c r="O65" s="62"/>
      <c r="P65" s="62"/>
      <c r="Q65" s="62"/>
    </row>
    <row r="66" spans="1:17" ht="15" customHeight="1">
      <c r="A66" s="10">
        <v>54</v>
      </c>
      <c r="B66" s="10" t="s">
        <v>111</v>
      </c>
      <c r="C66" s="10">
        <v>-83.38</v>
      </c>
      <c r="D66" s="10">
        <v>35.090000000000003</v>
      </c>
      <c r="E66" s="62">
        <v>22</v>
      </c>
      <c r="F66" s="10"/>
      <c r="G66" s="8"/>
      <c r="H66" s="8"/>
      <c r="I66" s="8"/>
      <c r="J66" s="62"/>
      <c r="K66" s="62"/>
      <c r="L66" s="62"/>
      <c r="M66" s="62" t="s">
        <v>55</v>
      </c>
      <c r="N66" s="62" t="s">
        <v>102</v>
      </c>
      <c r="O66" s="62"/>
      <c r="P66" s="62"/>
      <c r="Q66" s="62"/>
    </row>
    <row r="67" spans="1:17" ht="15" customHeight="1">
      <c r="A67" s="10">
        <v>55</v>
      </c>
      <c r="B67" s="10" t="s">
        <v>112</v>
      </c>
      <c r="C67" s="10">
        <v>-83.39</v>
      </c>
      <c r="D67" s="10">
        <v>35.229999999999997</v>
      </c>
      <c r="E67" s="62">
        <v>154</v>
      </c>
      <c r="F67" s="10"/>
      <c r="G67" s="8"/>
      <c r="H67" s="8"/>
      <c r="I67" s="8"/>
      <c r="J67" s="62"/>
      <c r="K67" s="62"/>
      <c r="L67" s="62"/>
      <c r="M67" s="62" t="s">
        <v>55</v>
      </c>
      <c r="N67" s="62" t="s">
        <v>102</v>
      </c>
      <c r="O67" s="62"/>
      <c r="P67" s="62"/>
      <c r="Q67" s="62"/>
    </row>
    <row r="68" spans="1:17" ht="15" customHeight="1">
      <c r="A68" s="10">
        <v>56</v>
      </c>
      <c r="B68" s="10" t="s">
        <v>113</v>
      </c>
      <c r="C68" s="10">
        <v>-83.52</v>
      </c>
      <c r="D68" s="10">
        <v>35.33</v>
      </c>
      <c r="E68" s="62">
        <v>121</v>
      </c>
      <c r="F68" s="10"/>
      <c r="G68" s="10"/>
      <c r="H68" s="10"/>
      <c r="I68" s="10"/>
      <c r="J68" s="62"/>
      <c r="K68" s="62"/>
      <c r="L68" s="62"/>
      <c r="M68" s="62" t="s">
        <v>55</v>
      </c>
      <c r="N68" s="62" t="s">
        <v>102</v>
      </c>
      <c r="O68" s="62"/>
      <c r="P68" s="62"/>
      <c r="Q68" s="62"/>
    </row>
    <row r="69" spans="1:17" ht="15" customHeight="1">
      <c r="A69" s="10">
        <v>58</v>
      </c>
      <c r="B69" s="10" t="s">
        <v>114</v>
      </c>
      <c r="C69" s="10">
        <v>-71.72</v>
      </c>
      <c r="D69" s="10">
        <v>43.94</v>
      </c>
      <c r="E69" s="62">
        <v>4170</v>
      </c>
      <c r="F69" s="62">
        <f>SUM(G69:K69)</f>
        <v>4018.91</v>
      </c>
      <c r="G69" s="62">
        <f>(422+16.1+266+119+12.5+0.2+11.9)</f>
        <v>847.7</v>
      </c>
      <c r="H69" s="62">
        <f>(571+33.9+95.6+94+7.5+9.1+8.7+0.7+0.7 +161+0.3+236)</f>
        <v>1218.5</v>
      </c>
      <c r="I69" s="62">
        <f>(18.2+8+0.4+5.6+68.9+20.3+2.7+2.1+89.2+0.4 +163+172+167+114)</f>
        <v>831.8</v>
      </c>
      <c r="J69" s="62">
        <f>449+42.9</f>
        <v>491.9</v>
      </c>
      <c r="K69" s="62">
        <f>(7.2+ 0.5+ 154+ 86.5+ 0.4+ 1+ 0.01+ 0.5+ 125+ 1.7+ 0.5+ 1.3+ 26.7+ 119+ 87.5+ 7.6+ 0.1+2.5+ 7)</f>
        <v>629.01</v>
      </c>
      <c r="L69" s="62"/>
      <c r="M69" s="62" t="s">
        <v>18</v>
      </c>
      <c r="N69" s="62"/>
      <c r="O69" s="62"/>
      <c r="P69" s="62"/>
      <c r="Q69" s="62"/>
    </row>
    <row r="70" spans="1:17" ht="15" customHeight="1">
      <c r="A70" s="10">
        <v>59</v>
      </c>
      <c r="B70" s="10" t="s">
        <v>115</v>
      </c>
      <c r="C70" s="10">
        <v>-71.69</v>
      </c>
      <c r="D70" s="10">
        <v>43.93</v>
      </c>
      <c r="E70" s="62">
        <v>2997</v>
      </c>
      <c r="F70" s="62">
        <f>SUM(G70:K70)</f>
        <v>2868.7</v>
      </c>
      <c r="G70" s="62">
        <f>(564+119+62+11.9+98.6+5.7+19.4+6.9+0.7+5.2)</f>
        <v>893.40000000000009</v>
      </c>
      <c r="H70" s="62">
        <f>(179+29.7+3.5+7.9+31.3+0.8+0.3+2.2+34.1+62.7+45.2+16.7+3.1+0.1)</f>
        <v>416.6</v>
      </c>
      <c r="I70" s="62">
        <f>(145+2.4+80.9+20.3+209+54.4+2.5)</f>
        <v>514.5</v>
      </c>
      <c r="J70" s="62">
        <f>549+18.5</f>
        <v>567.5</v>
      </c>
      <c r="K70" s="62">
        <f>(12.9+8.1+80.7+107+0.5+0.1+7.2+2.6+36+25+98.8+66.7+11.2+0.2+19.7)</f>
        <v>476.69999999999993</v>
      </c>
      <c r="L70" s="62"/>
      <c r="M70" s="62" t="s">
        <v>18</v>
      </c>
      <c r="N70" s="62"/>
      <c r="O70" s="62"/>
      <c r="P70" s="62"/>
      <c r="Q70" s="62"/>
    </row>
    <row r="71" spans="1:17" ht="15" customHeight="1">
      <c r="A71" s="63">
        <v>144</v>
      </c>
      <c r="B71" s="63" t="s">
        <v>116</v>
      </c>
      <c r="C71" s="10">
        <v>-110.83499999999999</v>
      </c>
      <c r="D71" s="10">
        <v>44.561</v>
      </c>
      <c r="E71" s="63">
        <v>57417</v>
      </c>
      <c r="F71" s="63">
        <v>11078</v>
      </c>
      <c r="G71" s="63">
        <v>754</v>
      </c>
      <c r="H71" s="63">
        <v>28</v>
      </c>
      <c r="I71" s="63">
        <v>4014</v>
      </c>
      <c r="J71" s="63">
        <v>3703</v>
      </c>
      <c r="K71" s="63">
        <v>2579</v>
      </c>
      <c r="L71" s="63"/>
      <c r="M71" s="63" t="s">
        <v>18</v>
      </c>
      <c r="N71" s="63"/>
      <c r="O71" s="63"/>
      <c r="P71" s="62"/>
      <c r="Q71" s="62"/>
    </row>
    <row r="72" spans="1:17" ht="15" customHeight="1">
      <c r="A72" s="63">
        <v>145</v>
      </c>
      <c r="B72" s="63" t="s">
        <v>117</v>
      </c>
      <c r="C72" s="10">
        <v>-110.836</v>
      </c>
      <c r="D72" s="10">
        <v>44.561999999999998</v>
      </c>
      <c r="E72" s="63">
        <v>171346</v>
      </c>
      <c r="F72" s="63">
        <v>7743</v>
      </c>
      <c r="G72" s="63">
        <v>439</v>
      </c>
      <c r="H72" s="63">
        <v>13</v>
      </c>
      <c r="I72" s="63">
        <v>887</v>
      </c>
      <c r="J72" s="63">
        <v>4632</v>
      </c>
      <c r="K72" s="63">
        <v>1772</v>
      </c>
      <c r="L72" s="63"/>
      <c r="M72" s="63" t="s">
        <v>18</v>
      </c>
      <c r="N72" s="63"/>
      <c r="O72" s="63"/>
      <c r="P72" s="62"/>
      <c r="Q72" s="62"/>
    </row>
    <row r="73" spans="1:17" ht="15" customHeight="1">
      <c r="A73" s="63">
        <v>147</v>
      </c>
      <c r="B73" s="63" t="s">
        <v>118</v>
      </c>
      <c r="C73" s="10">
        <v>-110.855</v>
      </c>
      <c r="D73" s="10">
        <v>44.640999999999998</v>
      </c>
      <c r="E73" s="63">
        <v>28748</v>
      </c>
      <c r="F73" s="63">
        <v>3949</v>
      </c>
      <c r="G73" s="63">
        <v>384</v>
      </c>
      <c r="H73" s="63">
        <v>577</v>
      </c>
      <c r="I73" s="63">
        <v>1361</v>
      </c>
      <c r="J73" s="63">
        <v>861</v>
      </c>
      <c r="K73" s="63">
        <v>766</v>
      </c>
      <c r="L73" s="63"/>
      <c r="M73" s="63" t="s">
        <v>18</v>
      </c>
      <c r="N73" s="63"/>
      <c r="O73" s="63"/>
      <c r="P73" s="62"/>
      <c r="Q73" s="62"/>
    </row>
    <row r="74" spans="1:17" ht="15" customHeight="1">
      <c r="A74" s="63">
        <v>146</v>
      </c>
      <c r="B74" s="63" t="s">
        <v>119</v>
      </c>
      <c r="C74" s="10">
        <v>-110.687</v>
      </c>
      <c r="D74" s="10">
        <v>44.11</v>
      </c>
      <c r="E74" s="63">
        <v>209541</v>
      </c>
      <c r="F74" s="63">
        <v>7960</v>
      </c>
      <c r="G74" s="63">
        <v>1509</v>
      </c>
      <c r="H74" s="63">
        <v>256</v>
      </c>
      <c r="I74" s="63">
        <v>1196</v>
      </c>
      <c r="J74" s="63">
        <v>2373</v>
      </c>
      <c r="K74" s="63">
        <v>2626</v>
      </c>
      <c r="L74" s="63"/>
      <c r="M74" s="63" t="s">
        <v>18</v>
      </c>
      <c r="N74" s="63"/>
      <c r="O74" s="63"/>
      <c r="P74" s="62"/>
      <c r="Q74" s="62"/>
    </row>
    <row r="75" spans="1:17" ht="15" customHeight="1">
      <c r="A75" s="10">
        <v>183</v>
      </c>
      <c r="B75" s="10" t="s">
        <v>120</v>
      </c>
      <c r="C75" s="62">
        <v>-21.3</v>
      </c>
      <c r="D75" s="62">
        <v>64.05</v>
      </c>
      <c r="E75" s="62">
        <v>16908</v>
      </c>
      <c r="F75" s="62"/>
      <c r="G75" s="62"/>
      <c r="H75" s="62"/>
      <c r="I75" s="62"/>
      <c r="J75" s="62"/>
      <c r="K75" s="62"/>
      <c r="L75" s="62"/>
      <c r="M75" s="12" t="s">
        <v>23</v>
      </c>
      <c r="N75" s="62" t="s">
        <v>121</v>
      </c>
      <c r="O75" s="62"/>
      <c r="P75" s="62"/>
      <c r="Q75" s="62" t="s">
        <v>122</v>
      </c>
    </row>
    <row r="76" spans="1:17" ht="15" customHeight="1">
      <c r="A76" s="10">
        <v>179</v>
      </c>
      <c r="B76" s="10" t="s">
        <v>123</v>
      </c>
      <c r="C76" s="62">
        <v>-21.3</v>
      </c>
      <c r="D76" s="62">
        <v>64.05</v>
      </c>
      <c r="E76" s="62">
        <v>2472</v>
      </c>
      <c r="F76" s="62"/>
      <c r="G76" s="62"/>
      <c r="H76" s="62"/>
      <c r="I76" s="62"/>
      <c r="J76" s="62"/>
      <c r="K76" s="62"/>
      <c r="L76" s="62"/>
      <c r="M76" s="12" t="s">
        <v>23</v>
      </c>
      <c r="N76" s="62" t="s">
        <v>124</v>
      </c>
      <c r="O76" s="62"/>
      <c r="P76" s="62"/>
      <c r="Q76" s="62" t="s">
        <v>122</v>
      </c>
    </row>
    <row r="77" spans="1:17" ht="15" customHeight="1">
      <c r="A77" s="10">
        <v>184</v>
      </c>
      <c r="B77" s="10" t="s">
        <v>125</v>
      </c>
      <c r="C77" s="62">
        <v>-21.3</v>
      </c>
      <c r="D77" s="62">
        <v>64.05</v>
      </c>
      <c r="E77" s="62">
        <v>29526</v>
      </c>
      <c r="F77" s="62"/>
      <c r="G77" s="62"/>
      <c r="H77" s="62"/>
      <c r="I77" s="62"/>
      <c r="J77" s="62"/>
      <c r="K77" s="62"/>
      <c r="L77" s="62"/>
      <c r="M77" s="12" t="s">
        <v>23</v>
      </c>
      <c r="N77" s="62" t="s">
        <v>121</v>
      </c>
      <c r="O77" s="62"/>
      <c r="P77" s="62"/>
      <c r="Q77" s="62" t="s">
        <v>122</v>
      </c>
    </row>
    <row r="78" spans="1:17" ht="15" customHeight="1">
      <c r="A78" s="10">
        <v>182</v>
      </c>
      <c r="B78" s="10" t="s">
        <v>126</v>
      </c>
      <c r="C78" s="62">
        <v>-21.3</v>
      </c>
      <c r="D78" s="62">
        <v>64.05</v>
      </c>
      <c r="E78" s="62">
        <v>13817</v>
      </c>
      <c r="F78" s="62"/>
      <c r="G78" s="62"/>
      <c r="H78" s="62"/>
      <c r="I78" s="62"/>
      <c r="J78" s="62"/>
      <c r="K78" s="62"/>
      <c r="L78" s="62"/>
      <c r="M78" s="12" t="s">
        <v>23</v>
      </c>
      <c r="N78" s="62" t="s">
        <v>121</v>
      </c>
      <c r="O78" s="62"/>
      <c r="P78" s="62"/>
      <c r="Q78" s="62" t="s">
        <v>122</v>
      </c>
    </row>
    <row r="79" spans="1:17" ht="15" customHeight="1">
      <c r="A79" s="10">
        <v>180</v>
      </c>
      <c r="B79" s="10" t="s">
        <v>127</v>
      </c>
      <c r="C79" s="62">
        <v>-21.3</v>
      </c>
      <c r="D79" s="62">
        <v>64.05</v>
      </c>
      <c r="E79" s="62">
        <v>4680</v>
      </c>
      <c r="F79" s="62"/>
      <c r="G79" s="62"/>
      <c r="H79" s="62"/>
      <c r="I79" s="62"/>
      <c r="J79" s="62"/>
      <c r="K79" s="62"/>
      <c r="L79" s="62"/>
      <c r="M79" s="12" t="s">
        <v>23</v>
      </c>
      <c r="N79" s="62" t="s">
        <v>121</v>
      </c>
      <c r="O79" s="62"/>
      <c r="P79" s="62"/>
      <c r="Q79" s="62" t="s">
        <v>122</v>
      </c>
    </row>
    <row r="80" spans="1:17" ht="15" customHeight="1">
      <c r="A80" s="10">
        <v>181</v>
      </c>
      <c r="B80" s="10" t="s">
        <v>128</v>
      </c>
      <c r="C80" s="62">
        <v>-21.3</v>
      </c>
      <c r="D80" s="62">
        <v>64.05</v>
      </c>
      <c r="E80" s="62">
        <v>2280</v>
      </c>
      <c r="F80" s="62"/>
      <c r="G80" s="62"/>
      <c r="H80" s="62"/>
      <c r="I80" s="62"/>
      <c r="J80" s="62"/>
      <c r="K80" s="62"/>
      <c r="L80" s="62"/>
      <c r="M80" s="12" t="s">
        <v>23</v>
      </c>
      <c r="N80" s="62" t="s">
        <v>121</v>
      </c>
      <c r="O80" s="62"/>
      <c r="P80" s="62"/>
      <c r="Q80" s="62" t="s">
        <v>122</v>
      </c>
    </row>
    <row r="81" spans="1:17" ht="15" customHeight="1">
      <c r="A81" s="63">
        <v>191</v>
      </c>
      <c r="B81" s="63" t="s">
        <v>129</v>
      </c>
      <c r="C81" s="10">
        <v>175.483</v>
      </c>
      <c r="D81" s="10">
        <v>-40.966999999999999</v>
      </c>
      <c r="E81" s="63">
        <v>1.61</v>
      </c>
      <c r="F81" s="63"/>
      <c r="G81" s="63"/>
      <c r="H81" s="63"/>
      <c r="I81" s="63"/>
      <c r="J81" s="63"/>
      <c r="K81" s="63"/>
      <c r="L81" s="63"/>
      <c r="M81" s="63" t="s">
        <v>87</v>
      </c>
      <c r="N81" s="63" t="s">
        <v>130</v>
      </c>
      <c r="O81" s="63"/>
      <c r="P81" s="62"/>
      <c r="Q81" s="62"/>
    </row>
    <row r="82" spans="1:17" ht="15" customHeight="1">
      <c r="A82" s="63">
        <v>189</v>
      </c>
      <c r="B82" s="63" t="s">
        <v>131</v>
      </c>
      <c r="C82" s="10">
        <v>175.483</v>
      </c>
      <c r="D82" s="10">
        <v>-40.966999999999999</v>
      </c>
      <c r="E82" s="63">
        <v>1.64</v>
      </c>
      <c r="F82" s="63"/>
      <c r="G82" s="63"/>
      <c r="H82" s="63"/>
      <c r="I82" s="63"/>
      <c r="J82" s="63"/>
      <c r="K82" s="63"/>
      <c r="L82" s="63"/>
      <c r="M82" s="63" t="s">
        <v>87</v>
      </c>
      <c r="N82" s="63" t="s">
        <v>130</v>
      </c>
      <c r="O82" s="63"/>
      <c r="P82" s="62"/>
      <c r="Q82" s="62"/>
    </row>
    <row r="83" spans="1:17" ht="15" customHeight="1">
      <c r="A83" s="63">
        <v>190</v>
      </c>
      <c r="B83" s="63" t="s">
        <v>132</v>
      </c>
      <c r="C83" s="10">
        <v>175.483</v>
      </c>
      <c r="D83" s="10">
        <v>-40.966999999999999</v>
      </c>
      <c r="E83" s="63">
        <v>0.84</v>
      </c>
      <c r="F83" s="63"/>
      <c r="G83" s="63"/>
      <c r="H83" s="63"/>
      <c r="I83" s="63"/>
      <c r="J83" s="63"/>
      <c r="K83" s="63"/>
      <c r="L83" s="63"/>
      <c r="M83" s="63" t="s">
        <v>87</v>
      </c>
      <c r="N83" s="63" t="s">
        <v>130</v>
      </c>
      <c r="O83" s="63"/>
      <c r="P83" s="62"/>
      <c r="Q83" s="62"/>
    </row>
    <row r="84" spans="1:17" ht="15" customHeight="1">
      <c r="A84" s="63">
        <v>187</v>
      </c>
      <c r="B84" s="63" t="s">
        <v>133</v>
      </c>
      <c r="C84" s="10">
        <v>174.9</v>
      </c>
      <c r="D84" s="10">
        <v>-41.1</v>
      </c>
      <c r="E84" s="63">
        <v>5.49</v>
      </c>
      <c r="F84" s="63"/>
      <c r="G84" s="63"/>
      <c r="H84" s="63"/>
      <c r="I84" s="63"/>
      <c r="J84" s="63"/>
      <c r="K84" s="63"/>
      <c r="L84" s="63"/>
      <c r="M84" s="63" t="s">
        <v>87</v>
      </c>
      <c r="N84" s="63" t="s">
        <v>130</v>
      </c>
      <c r="O84" s="63"/>
      <c r="P84" s="62"/>
      <c r="Q84" s="62"/>
    </row>
    <row r="85" spans="1:17" ht="15" customHeight="1">
      <c r="A85" s="63">
        <v>186</v>
      </c>
      <c r="B85" s="63" t="s">
        <v>134</v>
      </c>
      <c r="C85" s="10">
        <v>174.9</v>
      </c>
      <c r="D85" s="10">
        <v>-41.1</v>
      </c>
      <c r="E85" s="63">
        <v>11.93</v>
      </c>
      <c r="F85" s="63"/>
      <c r="G85" s="63"/>
      <c r="H85" s="63"/>
      <c r="I85" s="63"/>
      <c r="J85" s="63"/>
      <c r="K85" s="63"/>
      <c r="L85" s="63"/>
      <c r="M85" s="63" t="s">
        <v>87</v>
      </c>
      <c r="N85" s="63" t="s">
        <v>130</v>
      </c>
      <c r="O85" s="63"/>
      <c r="P85" s="62"/>
      <c r="Q85" s="62"/>
    </row>
    <row r="86" spans="1:17" ht="15" customHeight="1">
      <c r="A86" s="63">
        <v>188</v>
      </c>
      <c r="B86" s="63" t="s">
        <v>135</v>
      </c>
      <c r="C86" s="10">
        <v>174.9</v>
      </c>
      <c r="D86" s="10">
        <v>-41.1</v>
      </c>
      <c r="E86" s="63">
        <v>10.27</v>
      </c>
      <c r="F86" s="63"/>
      <c r="G86" s="63"/>
      <c r="H86" s="63"/>
      <c r="I86" s="63"/>
      <c r="J86" s="63"/>
      <c r="K86" s="63"/>
      <c r="L86" s="63"/>
      <c r="M86" s="63" t="s">
        <v>87</v>
      </c>
      <c r="N86" s="63" t="s">
        <v>130</v>
      </c>
      <c r="O86" s="63"/>
      <c r="P86" s="62"/>
      <c r="Q86" s="62"/>
    </row>
    <row r="87" spans="1:17" ht="15" customHeight="1">
      <c r="A87" s="10">
        <v>192</v>
      </c>
      <c r="B87" s="10" t="s">
        <v>136</v>
      </c>
      <c r="C87" s="10">
        <v>170.32</v>
      </c>
      <c r="D87" s="10">
        <v>-44.518000000000001</v>
      </c>
      <c r="E87" s="62">
        <v>16811</v>
      </c>
      <c r="F87" s="62">
        <v>14237</v>
      </c>
      <c r="G87" s="62">
        <v>2175</v>
      </c>
      <c r="H87" s="62">
        <v>999</v>
      </c>
      <c r="I87" s="62">
        <v>5036</v>
      </c>
      <c r="J87" s="62"/>
      <c r="K87" s="62">
        <f>E87-F87</f>
        <v>2574</v>
      </c>
      <c r="L87" s="62"/>
      <c r="M87" s="62" t="s">
        <v>18</v>
      </c>
      <c r="N87" s="62" t="s">
        <v>137</v>
      </c>
      <c r="O87" s="62"/>
      <c r="P87" s="62"/>
      <c r="Q87" s="62"/>
    </row>
    <row r="88" spans="1:17" s="15" customFormat="1" ht="15" customHeight="1">
      <c r="A88" s="51">
        <v>193</v>
      </c>
      <c r="B88" s="51" t="s">
        <v>138</v>
      </c>
      <c r="C88" s="66">
        <v>9.8829999999999991</v>
      </c>
      <c r="D88" s="66">
        <v>56.767000000000003</v>
      </c>
      <c r="E88" s="62"/>
      <c r="F88" s="66">
        <f>G88+H88+K88</f>
        <v>2780</v>
      </c>
      <c r="G88" s="66">
        <f>2.02*1000</f>
        <v>2020</v>
      </c>
      <c r="H88" s="66">
        <v>580</v>
      </c>
      <c r="I88" s="66"/>
      <c r="J88" s="66"/>
      <c r="K88" s="66">
        <v>180</v>
      </c>
      <c r="L88" s="66"/>
      <c r="M88" s="66" t="s">
        <v>18</v>
      </c>
      <c r="N88" s="66" t="s">
        <v>139</v>
      </c>
      <c r="O88" s="66"/>
      <c r="P88" s="66"/>
      <c r="Q88" s="66"/>
    </row>
    <row r="89" spans="1:17" ht="15" customHeight="1">
      <c r="A89" s="10">
        <v>148</v>
      </c>
      <c r="B89" s="10" t="s">
        <v>140</v>
      </c>
      <c r="C89" s="10">
        <v>-111.5</v>
      </c>
      <c r="D89" s="10">
        <v>33.75</v>
      </c>
      <c r="E89" s="62"/>
      <c r="F89" s="62">
        <f>120.9*1000</f>
        <v>120900</v>
      </c>
      <c r="G89" s="62">
        <f>(19.5+0.6+18.5+17)*1000</f>
        <v>55600</v>
      </c>
      <c r="H89" s="62"/>
      <c r="I89" s="62">
        <v>1390</v>
      </c>
      <c r="J89" s="62">
        <v>5830</v>
      </c>
      <c r="K89" s="62"/>
      <c r="L89" s="62"/>
      <c r="M89" s="62" t="s">
        <v>23</v>
      </c>
      <c r="N89" s="62"/>
      <c r="O89" s="62"/>
      <c r="P89" s="62"/>
      <c r="Q89" s="62"/>
    </row>
    <row r="90" spans="1:17" ht="15" customHeight="1">
      <c r="A90" s="63">
        <v>61</v>
      </c>
      <c r="B90" s="63" t="s">
        <v>141</v>
      </c>
      <c r="C90" s="10">
        <v>-81.099999999999994</v>
      </c>
      <c r="D90" s="10">
        <v>38.29</v>
      </c>
      <c r="E90" s="63">
        <v>18.600000000000001</v>
      </c>
      <c r="F90" s="63">
        <v>18.600000000000001</v>
      </c>
      <c r="G90" s="63">
        <v>2.2000000000000002</v>
      </c>
      <c r="H90" s="63">
        <v>8.6999999999999993</v>
      </c>
      <c r="I90" s="63"/>
      <c r="J90" s="63">
        <v>7.7</v>
      </c>
      <c r="K90" s="63"/>
      <c r="L90" s="63"/>
      <c r="M90" s="63" t="s">
        <v>55</v>
      </c>
      <c r="N90" s="63" t="s">
        <v>142</v>
      </c>
      <c r="O90" s="63"/>
      <c r="P90" s="62"/>
      <c r="Q90" s="62"/>
    </row>
    <row r="91" spans="1:17" ht="15" customHeight="1">
      <c r="A91" s="63">
        <v>136</v>
      </c>
      <c r="B91" s="63" t="s">
        <v>143</v>
      </c>
      <c r="C91" s="10">
        <v>-81.049000000000007</v>
      </c>
      <c r="D91" s="10">
        <v>38.319000000000003</v>
      </c>
      <c r="E91" s="63">
        <v>10.9</v>
      </c>
      <c r="F91" s="63">
        <v>10.9</v>
      </c>
      <c r="G91" s="63"/>
      <c r="H91" s="63">
        <v>1.3</v>
      </c>
      <c r="I91" s="63"/>
      <c r="J91" s="63">
        <v>9.6</v>
      </c>
      <c r="K91" s="63"/>
      <c r="L91" s="63"/>
      <c r="M91" s="63" t="s">
        <v>55</v>
      </c>
      <c r="N91" s="63" t="s">
        <v>142</v>
      </c>
      <c r="O91" s="63"/>
      <c r="P91" s="62"/>
      <c r="Q91" s="62"/>
    </row>
    <row r="92" spans="1:17" ht="15" customHeight="1">
      <c r="A92" s="63">
        <v>62</v>
      </c>
      <c r="B92" s="63" t="s">
        <v>144</v>
      </c>
      <c r="C92" s="10">
        <v>-81.19</v>
      </c>
      <c r="D92" s="10">
        <v>38.229999999999997</v>
      </c>
      <c r="E92" s="63">
        <v>66.099999999999994</v>
      </c>
      <c r="F92" s="63">
        <v>66.099999999999994</v>
      </c>
      <c r="G92" s="63"/>
      <c r="H92" s="63">
        <v>7</v>
      </c>
      <c r="I92" s="63"/>
      <c r="J92" s="63">
        <v>59.1</v>
      </c>
      <c r="K92" s="63"/>
      <c r="L92" s="63"/>
      <c r="M92" s="63" t="s">
        <v>55</v>
      </c>
      <c r="N92" s="63" t="s">
        <v>142</v>
      </c>
      <c r="O92" s="63"/>
      <c r="P92" s="62"/>
      <c r="Q92" s="62"/>
    </row>
    <row r="93" spans="1:17" ht="15" customHeight="1">
      <c r="A93" s="10">
        <v>63</v>
      </c>
      <c r="B93" s="10" t="s">
        <v>145</v>
      </c>
      <c r="C93" s="10">
        <v>-85.56</v>
      </c>
      <c r="D93" s="10">
        <v>38.200000000000003</v>
      </c>
      <c r="E93" s="10">
        <v>6150</v>
      </c>
      <c r="F93" s="10"/>
      <c r="G93" s="10"/>
      <c r="H93" s="10"/>
      <c r="I93" s="10"/>
      <c r="J93" s="10"/>
      <c r="K93" s="10"/>
      <c r="L93" s="10"/>
      <c r="M93" s="12" t="s">
        <v>18</v>
      </c>
      <c r="N93" s="10" t="s">
        <v>146</v>
      </c>
      <c r="O93" s="10">
        <v>3.6</v>
      </c>
      <c r="P93" s="10">
        <v>4.3</v>
      </c>
      <c r="Q93" s="10" t="s">
        <v>72</v>
      </c>
    </row>
    <row r="94" spans="1:17" ht="15" customHeight="1">
      <c r="A94" s="10">
        <v>64</v>
      </c>
      <c r="B94" s="10" t="s">
        <v>147</v>
      </c>
      <c r="C94" s="10">
        <v>-85.56</v>
      </c>
      <c r="D94" s="10">
        <v>38.270000000000003</v>
      </c>
      <c r="E94" s="10">
        <v>16987</v>
      </c>
      <c r="F94" s="10"/>
      <c r="G94" s="10"/>
      <c r="H94" s="10"/>
      <c r="I94" s="10"/>
      <c r="J94" s="10"/>
      <c r="K94" s="10"/>
      <c r="L94" s="10"/>
      <c r="M94" s="12" t="s">
        <v>18</v>
      </c>
      <c r="N94" s="10" t="s">
        <v>146</v>
      </c>
      <c r="O94" s="10">
        <v>5.9</v>
      </c>
      <c r="P94" s="10">
        <v>3.1</v>
      </c>
      <c r="Q94" s="10" t="s">
        <v>72</v>
      </c>
    </row>
    <row r="95" spans="1:17" ht="15" customHeight="1">
      <c r="A95" s="63">
        <v>65</v>
      </c>
      <c r="B95" s="63" t="s">
        <v>148</v>
      </c>
      <c r="C95" s="10">
        <v>-81.040000000000006</v>
      </c>
      <c r="D95" s="10">
        <v>38.299999999999997</v>
      </c>
      <c r="E95" s="63">
        <v>17.899999999999999</v>
      </c>
      <c r="F95" s="63">
        <v>17.899999999999999</v>
      </c>
      <c r="G95" s="63"/>
      <c r="H95" s="63">
        <v>4.0999999999999996</v>
      </c>
      <c r="I95" s="63"/>
      <c r="J95" s="63">
        <v>13.8</v>
      </c>
      <c r="K95" s="63"/>
      <c r="L95" s="63"/>
      <c r="M95" s="63" t="s">
        <v>55</v>
      </c>
      <c r="N95" s="63" t="s">
        <v>142</v>
      </c>
      <c r="O95" s="63"/>
      <c r="P95" s="62"/>
      <c r="Q95" s="62"/>
    </row>
    <row r="96" spans="1:17" ht="15" customHeight="1">
      <c r="A96" s="10">
        <v>66</v>
      </c>
      <c r="B96" s="10" t="s">
        <v>149</v>
      </c>
      <c r="C96" s="10">
        <v>-85.62</v>
      </c>
      <c r="D96" s="10">
        <v>37.869999999999997</v>
      </c>
      <c r="E96" s="10">
        <v>11555</v>
      </c>
      <c r="F96" s="10"/>
      <c r="G96" s="10"/>
      <c r="H96" s="10"/>
      <c r="I96" s="10"/>
      <c r="J96" s="10"/>
      <c r="K96" s="10"/>
      <c r="L96" s="10"/>
      <c r="M96" s="12" t="s">
        <v>18</v>
      </c>
      <c r="N96" s="10" t="s">
        <v>146</v>
      </c>
      <c r="O96" s="10">
        <v>4.5</v>
      </c>
      <c r="P96" s="10">
        <v>7.3</v>
      </c>
      <c r="Q96" s="10" t="s">
        <v>72</v>
      </c>
    </row>
    <row r="97" spans="1:17" ht="15" customHeight="1">
      <c r="A97" s="63">
        <v>67</v>
      </c>
      <c r="B97" s="63" t="s">
        <v>150</v>
      </c>
      <c r="C97" s="10">
        <v>-81.12</v>
      </c>
      <c r="D97" s="10">
        <v>38.28</v>
      </c>
      <c r="E97" s="63">
        <v>27.5</v>
      </c>
      <c r="F97" s="63">
        <v>27.5</v>
      </c>
      <c r="G97" s="63">
        <v>7.7</v>
      </c>
      <c r="H97" s="63">
        <v>7.9</v>
      </c>
      <c r="I97" s="63"/>
      <c r="J97" s="63">
        <v>11.9</v>
      </c>
      <c r="K97" s="63"/>
      <c r="L97" s="63"/>
      <c r="M97" s="63" t="s">
        <v>55</v>
      </c>
      <c r="N97" s="63" t="s">
        <v>142</v>
      </c>
      <c r="O97" s="63"/>
      <c r="P97" s="62"/>
      <c r="Q97" s="62"/>
    </row>
    <row r="98" spans="1:17" ht="15" customHeight="1">
      <c r="A98" s="63">
        <v>68</v>
      </c>
      <c r="B98" s="63" t="s">
        <v>151</v>
      </c>
      <c r="C98" s="10">
        <v>-81.11</v>
      </c>
      <c r="D98" s="10">
        <v>38.299999999999997</v>
      </c>
      <c r="E98" s="63">
        <v>21.5</v>
      </c>
      <c r="F98" s="63">
        <v>21.5</v>
      </c>
      <c r="G98" s="63">
        <v>4.3</v>
      </c>
      <c r="H98" s="63">
        <v>5.5</v>
      </c>
      <c r="I98" s="63"/>
      <c r="J98" s="63">
        <v>11.7</v>
      </c>
      <c r="K98" s="63"/>
      <c r="L98" s="63"/>
      <c r="M98" s="63" t="s">
        <v>55</v>
      </c>
      <c r="N98" s="63" t="s">
        <v>142</v>
      </c>
      <c r="O98" s="63"/>
      <c r="P98" s="62"/>
      <c r="Q98" s="62"/>
    </row>
    <row r="99" spans="1:17" ht="15" customHeight="1">
      <c r="A99" s="10">
        <v>69</v>
      </c>
      <c r="B99" s="10" t="s">
        <v>152</v>
      </c>
      <c r="C99" s="10">
        <v>-85.61</v>
      </c>
      <c r="D99" s="10">
        <v>38.31</v>
      </c>
      <c r="E99" s="10">
        <v>12406</v>
      </c>
      <c r="F99" s="10"/>
      <c r="G99" s="10"/>
      <c r="H99" s="10"/>
      <c r="I99" s="10"/>
      <c r="J99" s="10"/>
      <c r="K99" s="10"/>
      <c r="L99" s="10"/>
      <c r="M99" s="12" t="s">
        <v>18</v>
      </c>
      <c r="N99" s="10" t="s">
        <v>146</v>
      </c>
      <c r="O99" s="10">
        <v>6.3</v>
      </c>
      <c r="P99" s="10">
        <v>15</v>
      </c>
      <c r="Q99" s="10" t="s">
        <v>72</v>
      </c>
    </row>
    <row r="100" spans="1:17" ht="15" customHeight="1">
      <c r="A100" s="63">
        <v>137</v>
      </c>
      <c r="B100" s="63" t="s">
        <v>153</v>
      </c>
      <c r="C100" s="10">
        <v>-81.037999999999997</v>
      </c>
      <c r="D100" s="10">
        <v>38.320999999999998</v>
      </c>
      <c r="E100" s="63">
        <v>1.5</v>
      </c>
      <c r="F100" s="63">
        <v>1.5</v>
      </c>
      <c r="G100" s="63"/>
      <c r="H100" s="63">
        <v>0.4</v>
      </c>
      <c r="I100" s="63"/>
      <c r="J100" s="63">
        <v>1.1000000000000001</v>
      </c>
      <c r="K100" s="63"/>
      <c r="L100" s="63"/>
      <c r="M100" s="63" t="s">
        <v>55</v>
      </c>
      <c r="N100" s="63" t="s">
        <v>142</v>
      </c>
      <c r="O100" s="63"/>
      <c r="P100" s="62"/>
      <c r="Q100" s="62"/>
    </row>
    <row r="101" spans="1:17" ht="15" customHeight="1">
      <c r="A101" s="63">
        <v>70</v>
      </c>
      <c r="B101" s="63" t="s">
        <v>154</v>
      </c>
      <c r="C101" s="10">
        <v>-81.08</v>
      </c>
      <c r="D101" s="10">
        <v>38.29</v>
      </c>
      <c r="E101" s="63">
        <v>20.6</v>
      </c>
      <c r="F101" s="63">
        <v>20.6</v>
      </c>
      <c r="G101" s="63">
        <v>4.3</v>
      </c>
      <c r="H101" s="63">
        <v>3.9</v>
      </c>
      <c r="I101" s="63"/>
      <c r="J101" s="63">
        <v>12.4</v>
      </c>
      <c r="K101" s="63"/>
      <c r="L101" s="63"/>
      <c r="M101" s="63" t="s">
        <v>55</v>
      </c>
      <c r="N101" s="63" t="s">
        <v>142</v>
      </c>
      <c r="O101" s="63"/>
      <c r="P101" s="62"/>
      <c r="Q101" s="62"/>
    </row>
    <row r="102" spans="1:17" ht="15" customHeight="1">
      <c r="A102" s="63">
        <v>71</v>
      </c>
      <c r="B102" s="63" t="s">
        <v>155</v>
      </c>
      <c r="C102" s="10">
        <v>-81.040000000000006</v>
      </c>
      <c r="D102" s="10">
        <v>38.299999999999997</v>
      </c>
      <c r="E102" s="63">
        <v>12.8</v>
      </c>
      <c r="F102" s="63">
        <v>12.8</v>
      </c>
      <c r="G102" s="63">
        <v>2.2999999999999998</v>
      </c>
      <c r="H102" s="63">
        <v>3.8</v>
      </c>
      <c r="I102" s="63"/>
      <c r="J102" s="63">
        <v>6.7</v>
      </c>
      <c r="K102" s="63"/>
      <c r="L102" s="63"/>
      <c r="M102" s="63" t="s">
        <v>55</v>
      </c>
      <c r="N102" s="63" t="s">
        <v>142</v>
      </c>
      <c r="O102" s="63"/>
      <c r="P102" s="62"/>
      <c r="Q102" s="62"/>
    </row>
    <row r="103" spans="1:17" ht="15" customHeight="1">
      <c r="A103" s="10">
        <v>72</v>
      </c>
      <c r="B103" s="10" t="s">
        <v>156</v>
      </c>
      <c r="C103" s="10">
        <v>-86.29</v>
      </c>
      <c r="D103" s="10">
        <v>37.81</v>
      </c>
      <c r="E103" s="10">
        <v>21834</v>
      </c>
      <c r="F103" s="10"/>
      <c r="G103" s="10"/>
      <c r="H103" s="10"/>
      <c r="I103" s="10"/>
      <c r="J103" s="10"/>
      <c r="K103" s="10"/>
      <c r="L103" s="10"/>
      <c r="M103" s="12" t="s">
        <v>18</v>
      </c>
      <c r="N103" s="10" t="s">
        <v>146</v>
      </c>
      <c r="O103" s="10">
        <v>5.6</v>
      </c>
      <c r="P103" s="10">
        <v>5.3</v>
      </c>
      <c r="Q103" s="10" t="s">
        <v>72</v>
      </c>
    </row>
    <row r="104" spans="1:17" ht="15" customHeight="1">
      <c r="A104" s="63">
        <v>73</v>
      </c>
      <c r="B104" s="63" t="s">
        <v>157</v>
      </c>
      <c r="C104" s="10">
        <v>-81.03</v>
      </c>
      <c r="D104" s="10">
        <v>38.31</v>
      </c>
      <c r="E104" s="63">
        <v>52.7</v>
      </c>
      <c r="F104" s="63">
        <v>52.7</v>
      </c>
      <c r="G104" s="63"/>
      <c r="H104" s="63"/>
      <c r="I104" s="63"/>
      <c r="J104" s="63">
        <v>46.4</v>
      </c>
      <c r="K104" s="63">
        <v>6.3</v>
      </c>
      <c r="L104" s="63"/>
      <c r="M104" s="63" t="s">
        <v>55</v>
      </c>
      <c r="N104" s="63" t="s">
        <v>142</v>
      </c>
      <c r="O104" s="63"/>
      <c r="P104" s="62"/>
      <c r="Q104" s="62"/>
    </row>
    <row r="105" spans="1:17" ht="15" customHeight="1">
      <c r="A105" s="10">
        <v>74</v>
      </c>
      <c r="B105" s="10" t="s">
        <v>158</v>
      </c>
      <c r="C105" s="10">
        <v>-85.75</v>
      </c>
      <c r="D105" s="10">
        <v>38.119999999999997</v>
      </c>
      <c r="E105" s="10">
        <v>11524</v>
      </c>
      <c r="F105" s="10"/>
      <c r="G105" s="10"/>
      <c r="H105" s="10"/>
      <c r="I105" s="10"/>
      <c r="J105" s="10"/>
      <c r="K105" s="10"/>
      <c r="L105" s="10"/>
      <c r="M105" s="12" t="s">
        <v>18</v>
      </c>
      <c r="N105" s="10" t="s">
        <v>146</v>
      </c>
      <c r="O105" s="10">
        <v>4.8</v>
      </c>
      <c r="P105" s="10">
        <v>14.8</v>
      </c>
      <c r="Q105" s="10" t="s">
        <v>72</v>
      </c>
    </row>
    <row r="106" spans="1:17" ht="15" customHeight="1">
      <c r="A106" s="10">
        <v>75</v>
      </c>
      <c r="B106" s="10" t="s">
        <v>159</v>
      </c>
      <c r="C106" s="10">
        <v>-112.25</v>
      </c>
      <c r="D106" s="10">
        <v>44.76</v>
      </c>
      <c r="E106" s="62">
        <v>7598</v>
      </c>
      <c r="F106" s="62">
        <v>7598</v>
      </c>
      <c r="G106" s="62">
        <v>2824</v>
      </c>
      <c r="H106" s="62">
        <v>838</v>
      </c>
      <c r="I106" s="62">
        <v>322</v>
      </c>
      <c r="J106" s="62">
        <v>455</v>
      </c>
      <c r="K106" s="62">
        <v>3135</v>
      </c>
      <c r="L106" s="62"/>
      <c r="M106" s="12" t="s">
        <v>18</v>
      </c>
      <c r="N106" s="62" t="s">
        <v>160</v>
      </c>
      <c r="O106" s="62">
        <v>3.5</v>
      </c>
      <c r="P106" s="62"/>
      <c r="Q106" s="62" t="s">
        <v>161</v>
      </c>
    </row>
    <row r="107" spans="1:17" ht="15" customHeight="1">
      <c r="A107" s="62">
        <v>151</v>
      </c>
      <c r="B107" s="62" t="s">
        <v>162</v>
      </c>
      <c r="C107" s="10">
        <v>-92.531000000000006</v>
      </c>
      <c r="D107" s="10">
        <v>43.661999999999999</v>
      </c>
      <c r="E107" s="62">
        <v>78.099999999999994</v>
      </c>
      <c r="F107" s="62">
        <v>42.79</v>
      </c>
      <c r="G107" s="62">
        <v>4.9000000000000004</v>
      </c>
      <c r="H107" s="62">
        <v>5.6840000000000002</v>
      </c>
      <c r="I107" s="62">
        <v>15.851000000000001</v>
      </c>
      <c r="J107" s="62"/>
      <c r="K107" s="62"/>
      <c r="L107" s="62"/>
      <c r="M107" s="62" t="s">
        <v>163</v>
      </c>
      <c r="N107" s="62" t="s">
        <v>164</v>
      </c>
      <c r="O107" s="62">
        <v>5.5</v>
      </c>
      <c r="P107" s="62"/>
      <c r="Q107" s="62"/>
    </row>
    <row r="108" spans="1:17" ht="15" customHeight="1">
      <c r="A108" s="62">
        <v>149</v>
      </c>
      <c r="B108" s="62" t="s">
        <v>165</v>
      </c>
      <c r="C108" s="10">
        <v>-91.037000000000006</v>
      </c>
      <c r="D108" s="10">
        <v>47.573999999999998</v>
      </c>
      <c r="E108" s="62">
        <v>32.5</v>
      </c>
      <c r="F108" s="62">
        <v>21.06</v>
      </c>
      <c r="G108" s="62">
        <v>5.94</v>
      </c>
      <c r="H108" s="62">
        <v>3.09</v>
      </c>
      <c r="I108" s="62">
        <v>4.24</v>
      </c>
      <c r="J108" s="62"/>
      <c r="K108" s="62"/>
      <c r="L108" s="62"/>
      <c r="M108" s="62" t="s">
        <v>163</v>
      </c>
      <c r="N108" s="62" t="s">
        <v>164</v>
      </c>
      <c r="O108" s="62">
        <v>4.5</v>
      </c>
      <c r="P108" s="62"/>
      <c r="Q108" s="62"/>
    </row>
    <row r="109" spans="1:17" ht="15" customHeight="1">
      <c r="A109" s="62">
        <v>150</v>
      </c>
      <c r="B109" s="62" t="s">
        <v>166</v>
      </c>
      <c r="C109" s="10">
        <v>-92.561000000000007</v>
      </c>
      <c r="D109" s="10">
        <v>46.618000000000002</v>
      </c>
      <c r="E109" s="62">
        <v>132.4</v>
      </c>
      <c r="F109" s="62">
        <v>112.342</v>
      </c>
      <c r="G109" s="62">
        <v>14.52</v>
      </c>
      <c r="H109" s="62">
        <v>2</v>
      </c>
      <c r="I109" s="62">
        <v>37.472000000000001</v>
      </c>
      <c r="J109" s="62"/>
      <c r="K109" s="62"/>
      <c r="L109" s="62"/>
      <c r="M109" s="62" t="s">
        <v>163</v>
      </c>
      <c r="N109" s="62" t="s">
        <v>164</v>
      </c>
      <c r="O109" s="62">
        <v>6</v>
      </c>
      <c r="P109" s="62"/>
      <c r="Q109" s="62"/>
    </row>
    <row r="110" spans="1:17" ht="15" customHeight="1">
      <c r="A110" s="62">
        <v>78</v>
      </c>
      <c r="B110" s="62" t="s">
        <v>167</v>
      </c>
      <c r="C110" s="10">
        <v>-118.83</v>
      </c>
      <c r="D110" s="10">
        <v>37.61</v>
      </c>
      <c r="E110" s="62">
        <v>4.4649999999999999</v>
      </c>
      <c r="F110" s="62">
        <v>4.4649999999999999</v>
      </c>
      <c r="G110" s="62">
        <v>1.472</v>
      </c>
      <c r="H110" s="62">
        <v>0.26600000000000001</v>
      </c>
      <c r="I110" s="62">
        <v>2.3769999999999998</v>
      </c>
      <c r="J110" s="62">
        <v>0.12</v>
      </c>
      <c r="K110" s="62"/>
      <c r="L110" s="62"/>
      <c r="M110" s="12" t="s">
        <v>87</v>
      </c>
      <c r="N110" s="62"/>
      <c r="O110" s="62"/>
      <c r="P110" s="62"/>
      <c r="Q110" s="62" t="s">
        <v>65</v>
      </c>
    </row>
    <row r="111" spans="1:17" ht="15" customHeight="1">
      <c r="A111" s="62">
        <v>138</v>
      </c>
      <c r="B111" s="62" t="s">
        <v>168</v>
      </c>
      <c r="C111" s="10">
        <v>-83.46</v>
      </c>
      <c r="D111" s="10">
        <v>35.034999999999997</v>
      </c>
      <c r="E111" s="62">
        <v>13.99</v>
      </c>
      <c r="F111" s="62">
        <v>11.34</v>
      </c>
      <c r="G111" s="62">
        <v>0.31</v>
      </c>
      <c r="H111" s="62">
        <v>1.08</v>
      </c>
      <c r="I111" s="62">
        <v>2.93</v>
      </c>
      <c r="J111" s="62"/>
      <c r="K111" s="62"/>
      <c r="L111" s="62"/>
      <c r="M111" s="63" t="s">
        <v>55</v>
      </c>
      <c r="N111" s="62" t="s">
        <v>169</v>
      </c>
      <c r="O111" s="62"/>
      <c r="P111" s="62"/>
      <c r="Q111" s="62"/>
    </row>
    <row r="112" spans="1:17" ht="15" customHeight="1">
      <c r="A112" s="62">
        <v>139</v>
      </c>
      <c r="B112" s="10" t="s">
        <v>170</v>
      </c>
      <c r="C112" s="10">
        <v>-83.465999999999994</v>
      </c>
      <c r="D112" s="10">
        <v>35.034999999999997</v>
      </c>
      <c r="E112" s="62">
        <v>11.49</v>
      </c>
      <c r="F112" s="62">
        <v>9.8800000000000008</v>
      </c>
      <c r="G112" s="62">
        <v>0.63</v>
      </c>
      <c r="H112" s="62">
        <v>2.21</v>
      </c>
      <c r="I112" s="62">
        <v>1.85</v>
      </c>
      <c r="J112" s="62"/>
      <c r="K112" s="62"/>
      <c r="L112" s="62"/>
      <c r="M112" s="63" t="s">
        <v>55</v>
      </c>
      <c r="N112" s="62" t="s">
        <v>171</v>
      </c>
      <c r="O112" s="62"/>
      <c r="P112" s="62"/>
      <c r="Q112" s="62"/>
    </row>
    <row r="113" spans="1:17" ht="15" customHeight="1">
      <c r="A113" s="62">
        <v>140</v>
      </c>
      <c r="B113" s="62" t="s">
        <v>172</v>
      </c>
      <c r="C113" s="10">
        <v>-83.465999999999994</v>
      </c>
      <c r="D113" s="10">
        <v>35.034999999999997</v>
      </c>
      <c r="E113" s="62">
        <v>4.4000000000000004</v>
      </c>
      <c r="F113" s="62">
        <v>1.99</v>
      </c>
      <c r="G113" s="62"/>
      <c r="H113" s="62"/>
      <c r="I113" s="62">
        <v>0.08</v>
      </c>
      <c r="J113" s="62"/>
      <c r="K113" s="62"/>
      <c r="L113" s="62"/>
      <c r="M113" s="63" t="s">
        <v>55</v>
      </c>
      <c r="N113" s="62" t="s">
        <v>171</v>
      </c>
      <c r="O113" s="62"/>
      <c r="P113" s="62"/>
      <c r="Q113" s="62"/>
    </row>
    <row r="114" spans="1:17" ht="15" customHeight="1">
      <c r="A114" s="62">
        <v>141</v>
      </c>
      <c r="B114" s="62" t="s">
        <v>173</v>
      </c>
      <c r="C114" s="10">
        <v>-83.456999999999994</v>
      </c>
      <c r="D114" s="10">
        <v>35.048999999999999</v>
      </c>
      <c r="E114" s="62">
        <v>8.86</v>
      </c>
      <c r="F114" s="62">
        <v>7.61</v>
      </c>
      <c r="G114" s="62">
        <v>0.45</v>
      </c>
      <c r="H114" s="62">
        <v>1.67</v>
      </c>
      <c r="I114" s="62">
        <v>1.59</v>
      </c>
      <c r="J114" s="62"/>
      <c r="K114" s="62"/>
      <c r="L114" s="62"/>
      <c r="M114" s="63" t="s">
        <v>55</v>
      </c>
      <c r="N114" s="62" t="s">
        <v>169</v>
      </c>
      <c r="O114" s="62"/>
      <c r="P114" s="62"/>
      <c r="Q114" s="62"/>
    </row>
    <row r="115" spans="1:17" ht="15" customHeight="1">
      <c r="A115" s="62">
        <v>142</v>
      </c>
      <c r="B115" s="62" t="s">
        <v>174</v>
      </c>
      <c r="C115" s="10">
        <v>-83.456999999999994</v>
      </c>
      <c r="D115" s="10">
        <v>35.048999999999999</v>
      </c>
      <c r="E115" s="62">
        <v>10.1</v>
      </c>
      <c r="F115" s="62">
        <v>8.4600000000000009</v>
      </c>
      <c r="G115" s="62">
        <v>0.11</v>
      </c>
      <c r="H115" s="62">
        <v>1.08</v>
      </c>
      <c r="I115" s="62">
        <v>1.71</v>
      </c>
      <c r="J115" s="62"/>
      <c r="K115" s="62"/>
      <c r="L115" s="62"/>
      <c r="M115" s="63" t="s">
        <v>55</v>
      </c>
      <c r="N115" s="62" t="s">
        <v>171</v>
      </c>
      <c r="O115" s="62"/>
      <c r="P115" s="62"/>
      <c r="Q115" s="62"/>
    </row>
    <row r="116" spans="1:17" ht="15" customHeight="1">
      <c r="A116" s="10">
        <v>79</v>
      </c>
      <c r="B116" s="10" t="s">
        <v>175</v>
      </c>
      <c r="C116" s="10">
        <v>-105.63</v>
      </c>
      <c r="D116" s="10">
        <v>40.229999999999997</v>
      </c>
      <c r="E116" s="10">
        <v>5780</v>
      </c>
      <c r="F116" s="10"/>
      <c r="G116" s="10">
        <v>1810</v>
      </c>
      <c r="H116" s="10">
        <v>407</v>
      </c>
      <c r="I116" s="10">
        <v>711</v>
      </c>
      <c r="J116" s="10">
        <v>1736</v>
      </c>
      <c r="K116" s="10">
        <v>104</v>
      </c>
      <c r="L116" s="10"/>
      <c r="M116" s="10" t="s">
        <v>23</v>
      </c>
      <c r="N116" s="10" t="s">
        <v>176</v>
      </c>
      <c r="O116" s="10"/>
      <c r="P116" s="10"/>
      <c r="Q116" s="10" t="s">
        <v>177</v>
      </c>
    </row>
    <row r="117" spans="1:17" ht="15" customHeight="1">
      <c r="A117" s="10">
        <v>79</v>
      </c>
      <c r="B117" s="10" t="s">
        <v>178</v>
      </c>
      <c r="C117" s="10">
        <v>-105.63</v>
      </c>
      <c r="D117" s="10">
        <v>40.229999999999997</v>
      </c>
      <c r="E117" s="10">
        <v>4710</v>
      </c>
      <c r="F117" s="10"/>
      <c r="G117" s="10">
        <v>1353</v>
      </c>
      <c r="H117" s="10">
        <v>545</v>
      </c>
      <c r="I117" s="10">
        <v>86</v>
      </c>
      <c r="J117" s="10">
        <v>1056</v>
      </c>
      <c r="K117" s="10">
        <v>253</v>
      </c>
      <c r="L117" s="10"/>
      <c r="M117" s="10" t="s">
        <v>23</v>
      </c>
      <c r="N117" s="10" t="s">
        <v>179</v>
      </c>
      <c r="O117" s="10"/>
      <c r="P117" s="10"/>
      <c r="Q117" s="10" t="s">
        <v>177</v>
      </c>
    </row>
    <row r="118" spans="1:17" ht="15" customHeight="1">
      <c r="A118" s="10">
        <v>80</v>
      </c>
      <c r="B118" s="10" t="s">
        <v>180</v>
      </c>
      <c r="C118" s="10">
        <v>-105.44</v>
      </c>
      <c r="D118" s="10">
        <v>40.21</v>
      </c>
      <c r="E118" s="10">
        <v>1210</v>
      </c>
      <c r="F118" s="10"/>
      <c r="G118" s="10">
        <v>2980</v>
      </c>
      <c r="H118" s="10">
        <v>592</v>
      </c>
      <c r="I118" s="10">
        <v>5297</v>
      </c>
      <c r="J118" s="10">
        <v>1358</v>
      </c>
      <c r="K118" s="10">
        <v>602</v>
      </c>
      <c r="L118" s="10"/>
      <c r="M118" s="10" t="s">
        <v>23</v>
      </c>
      <c r="N118" s="10" t="s">
        <v>176</v>
      </c>
      <c r="O118" s="62"/>
      <c r="P118" s="62"/>
      <c r="Q118" s="10" t="s">
        <v>177</v>
      </c>
    </row>
    <row r="119" spans="1:17" ht="15" customHeight="1">
      <c r="A119" s="10">
        <v>80</v>
      </c>
      <c r="B119" s="10" t="s">
        <v>181</v>
      </c>
      <c r="C119" s="10">
        <v>-105.44</v>
      </c>
      <c r="D119" s="10">
        <v>40.21</v>
      </c>
      <c r="E119" s="10">
        <v>1010</v>
      </c>
      <c r="F119" s="10"/>
      <c r="G119" s="10">
        <v>3759</v>
      </c>
      <c r="H119" s="10">
        <v>1263</v>
      </c>
      <c r="I119" s="10">
        <v>1978</v>
      </c>
      <c r="J119" s="10">
        <v>817</v>
      </c>
      <c r="K119" s="10">
        <v>1187</v>
      </c>
      <c r="L119" s="10"/>
      <c r="M119" s="10" t="s">
        <v>23</v>
      </c>
      <c r="N119" s="10" t="s">
        <v>179</v>
      </c>
      <c r="O119" s="62"/>
      <c r="P119" s="62"/>
      <c r="Q119" s="10" t="s">
        <v>177</v>
      </c>
    </row>
    <row r="120" spans="1:17" ht="15" customHeight="1">
      <c r="A120" s="10">
        <v>81</v>
      </c>
      <c r="B120" s="10" t="s">
        <v>182</v>
      </c>
      <c r="C120" s="10">
        <v>-105.52</v>
      </c>
      <c r="D120" s="10">
        <v>40.21</v>
      </c>
      <c r="E120" s="10">
        <v>8110</v>
      </c>
      <c r="F120" s="10"/>
      <c r="G120" s="10">
        <v>2859</v>
      </c>
      <c r="H120" s="10">
        <v>547</v>
      </c>
      <c r="I120" s="10">
        <v>1832</v>
      </c>
      <c r="J120" s="10">
        <v>941</v>
      </c>
      <c r="K120" s="10">
        <v>947</v>
      </c>
      <c r="L120" s="10"/>
      <c r="M120" s="10" t="s">
        <v>23</v>
      </c>
      <c r="N120" s="10" t="s">
        <v>176</v>
      </c>
      <c r="O120" s="62"/>
      <c r="P120" s="62"/>
      <c r="Q120" s="10" t="s">
        <v>177</v>
      </c>
    </row>
    <row r="121" spans="1:17" ht="15" customHeight="1">
      <c r="A121" s="10">
        <v>81</v>
      </c>
      <c r="B121" s="10" t="s">
        <v>183</v>
      </c>
      <c r="C121" s="10">
        <v>-105.52</v>
      </c>
      <c r="D121" s="10">
        <v>40.21</v>
      </c>
      <c r="E121" s="10">
        <v>6340</v>
      </c>
      <c r="F121" s="10"/>
      <c r="G121" s="10">
        <v>2378</v>
      </c>
      <c r="H121" s="10">
        <v>689</v>
      </c>
      <c r="I121" s="10">
        <v>628</v>
      </c>
      <c r="J121" s="10">
        <v>838</v>
      </c>
      <c r="K121" s="10">
        <v>651</v>
      </c>
      <c r="L121" s="10"/>
      <c r="M121" s="10" t="s">
        <v>23</v>
      </c>
      <c r="N121" s="10" t="s">
        <v>179</v>
      </c>
      <c r="O121" s="62"/>
      <c r="P121" s="62"/>
      <c r="Q121" s="10" t="s">
        <v>177</v>
      </c>
    </row>
    <row r="122" spans="1:17" ht="15" customHeight="1">
      <c r="A122" s="10">
        <v>82</v>
      </c>
      <c r="B122" s="10" t="s">
        <v>184</v>
      </c>
      <c r="C122" s="10">
        <v>-105.63</v>
      </c>
      <c r="D122" s="10">
        <v>40.21</v>
      </c>
      <c r="E122" s="10">
        <v>4710</v>
      </c>
      <c r="F122" s="10"/>
      <c r="G122" s="10">
        <v>729</v>
      </c>
      <c r="H122" s="10">
        <v>749</v>
      </c>
      <c r="I122" s="10">
        <v>255</v>
      </c>
      <c r="J122" s="10">
        <v>1421</v>
      </c>
      <c r="K122" s="10">
        <v>894</v>
      </c>
      <c r="L122" s="10"/>
      <c r="M122" s="10" t="s">
        <v>23</v>
      </c>
      <c r="N122" s="10" t="s">
        <v>176</v>
      </c>
      <c r="O122" s="62"/>
      <c r="P122" s="62"/>
      <c r="Q122" s="10" t="s">
        <v>177</v>
      </c>
    </row>
    <row r="123" spans="1:17" ht="15" customHeight="1">
      <c r="A123" s="10">
        <v>82</v>
      </c>
      <c r="B123" s="10" t="s">
        <v>185</v>
      </c>
      <c r="C123" s="10">
        <v>-105.63</v>
      </c>
      <c r="D123" s="10">
        <v>40.21</v>
      </c>
      <c r="E123" s="10">
        <v>3330</v>
      </c>
      <c r="F123" s="10"/>
      <c r="G123" s="10">
        <v>666</v>
      </c>
      <c r="H123" s="10">
        <v>507</v>
      </c>
      <c r="I123" s="10">
        <v>249</v>
      </c>
      <c r="J123" s="10">
        <v>1090</v>
      </c>
      <c r="K123" s="10">
        <v>450</v>
      </c>
      <c r="L123" s="10"/>
      <c r="M123" s="10" t="s">
        <v>23</v>
      </c>
      <c r="N123" s="10" t="s">
        <v>179</v>
      </c>
      <c r="O123" s="62"/>
      <c r="P123" s="62"/>
      <c r="Q123" s="10" t="s">
        <v>177</v>
      </c>
    </row>
    <row r="124" spans="1:17" ht="15" customHeight="1">
      <c r="A124" s="62">
        <v>83</v>
      </c>
      <c r="B124" s="62" t="s">
        <v>186</v>
      </c>
      <c r="C124" s="10">
        <v>-79.510000000000005</v>
      </c>
      <c r="D124" s="10">
        <v>37.9</v>
      </c>
      <c r="E124" s="62">
        <v>1.81</v>
      </c>
      <c r="F124" s="62">
        <v>0.84</v>
      </c>
      <c r="G124" s="62">
        <v>0.17</v>
      </c>
      <c r="H124" s="62">
        <v>0.44</v>
      </c>
      <c r="I124" s="62">
        <v>0.05</v>
      </c>
      <c r="J124" s="62"/>
      <c r="K124" s="62"/>
      <c r="L124" s="62"/>
      <c r="M124" s="12" t="s">
        <v>87</v>
      </c>
      <c r="N124" s="67" t="s">
        <v>187</v>
      </c>
      <c r="O124" s="62">
        <v>3</v>
      </c>
      <c r="P124" s="62"/>
      <c r="Q124" s="62" t="s">
        <v>188</v>
      </c>
    </row>
    <row r="125" spans="1:17" ht="15" customHeight="1">
      <c r="A125" s="62">
        <v>84</v>
      </c>
      <c r="B125" s="62" t="s">
        <v>189</v>
      </c>
      <c r="C125" s="10">
        <v>-79.5</v>
      </c>
      <c r="D125" s="10">
        <v>37.92</v>
      </c>
      <c r="E125" s="62">
        <v>12.46</v>
      </c>
      <c r="F125" s="62">
        <v>11.92</v>
      </c>
      <c r="G125" s="62">
        <v>0.74</v>
      </c>
      <c r="H125" s="62">
        <v>0.74</v>
      </c>
      <c r="I125" s="62">
        <v>9.74</v>
      </c>
      <c r="J125" s="62"/>
      <c r="K125" s="62"/>
      <c r="L125" s="62"/>
      <c r="M125" s="12" t="s">
        <v>87</v>
      </c>
      <c r="N125" s="67" t="s">
        <v>187</v>
      </c>
      <c r="O125" s="62">
        <v>5.3</v>
      </c>
      <c r="P125" s="62"/>
      <c r="Q125" s="62" t="s">
        <v>188</v>
      </c>
    </row>
    <row r="126" spans="1:17" ht="15" customHeight="1">
      <c r="A126" s="62">
        <v>85</v>
      </c>
      <c r="B126" s="62" t="s">
        <v>190</v>
      </c>
      <c r="C126" s="10">
        <v>-79.48</v>
      </c>
      <c r="D126" s="10">
        <v>37.94</v>
      </c>
      <c r="E126" s="62">
        <v>9.52</v>
      </c>
      <c r="F126" s="62">
        <v>8.16</v>
      </c>
      <c r="G126" s="62">
        <v>0.57999999999999996</v>
      </c>
      <c r="H126" s="62">
        <v>0.28999999999999998</v>
      </c>
      <c r="I126" s="62">
        <v>6.62</v>
      </c>
      <c r="J126" s="62"/>
      <c r="K126" s="62"/>
      <c r="L126" s="62"/>
      <c r="M126" s="12" t="s">
        <v>87</v>
      </c>
      <c r="N126" s="67" t="s">
        <v>187</v>
      </c>
      <c r="O126" s="62">
        <v>6.1</v>
      </c>
      <c r="P126" s="62"/>
      <c r="Q126" s="62" t="s">
        <v>188</v>
      </c>
    </row>
    <row r="127" spans="1:17" ht="15" customHeight="1">
      <c r="A127" s="62">
        <v>86</v>
      </c>
      <c r="B127" s="62" t="s">
        <v>191</v>
      </c>
      <c r="C127" s="10">
        <v>-79.47</v>
      </c>
      <c r="D127" s="10">
        <v>37.950000000000003</v>
      </c>
      <c r="E127" s="62">
        <v>5.54</v>
      </c>
      <c r="F127" s="62">
        <v>3.98</v>
      </c>
      <c r="G127" s="62">
        <v>0.88</v>
      </c>
      <c r="H127" s="62">
        <v>0.32</v>
      </c>
      <c r="I127" s="62">
        <v>2.2400000000000002</v>
      </c>
      <c r="J127" s="62"/>
      <c r="K127" s="62"/>
      <c r="L127" s="62"/>
      <c r="M127" s="12" t="s">
        <v>87</v>
      </c>
      <c r="N127" s="67" t="s">
        <v>187</v>
      </c>
      <c r="O127" s="62">
        <v>5.6</v>
      </c>
      <c r="P127" s="62"/>
      <c r="Q127" s="62" t="s">
        <v>188</v>
      </c>
    </row>
    <row r="128" spans="1:17" ht="15" customHeight="1">
      <c r="A128" s="62">
        <v>87</v>
      </c>
      <c r="B128" s="62" t="s">
        <v>192</v>
      </c>
      <c r="C128" s="10">
        <v>-79.489999999999995</v>
      </c>
      <c r="D128" s="10">
        <v>37.93</v>
      </c>
      <c r="E128" s="62">
        <v>3.81</v>
      </c>
      <c r="F128" s="62">
        <v>1.29</v>
      </c>
      <c r="G128" s="62">
        <v>0.13</v>
      </c>
      <c r="H128" s="62">
        <v>0.79</v>
      </c>
      <c r="I128" s="62">
        <v>0</v>
      </c>
      <c r="J128" s="62"/>
      <c r="K128" s="62"/>
      <c r="L128" s="62"/>
      <c r="M128" s="12" t="s">
        <v>87</v>
      </c>
      <c r="N128" s="67" t="s">
        <v>187</v>
      </c>
      <c r="O128" s="62">
        <v>2.9</v>
      </c>
      <c r="P128" s="62"/>
      <c r="Q128" s="62" t="s">
        <v>188</v>
      </c>
    </row>
    <row r="129" spans="1:17" ht="15" customHeight="1">
      <c r="A129" s="10">
        <v>197</v>
      </c>
      <c r="B129" s="10" t="s">
        <v>193</v>
      </c>
      <c r="C129" s="10">
        <v>9.3330000000000002</v>
      </c>
      <c r="D129" s="10">
        <v>56.366999999999997</v>
      </c>
      <c r="E129" s="62">
        <v>6.4</v>
      </c>
      <c r="F129" s="10">
        <v>4.5999999999999996</v>
      </c>
      <c r="G129" s="10">
        <v>0.1</v>
      </c>
      <c r="H129" s="10">
        <v>0.2</v>
      </c>
      <c r="I129" s="10">
        <v>2.2000000000000002</v>
      </c>
      <c r="J129" s="62">
        <v>0.6</v>
      </c>
      <c r="K129" s="62">
        <v>1.4</v>
      </c>
      <c r="L129" s="62"/>
      <c r="M129" s="62" t="s">
        <v>194</v>
      </c>
      <c r="N129" s="10" t="s">
        <v>195</v>
      </c>
      <c r="O129" s="62"/>
      <c r="P129" s="62"/>
      <c r="Q129" s="62" t="s">
        <v>161</v>
      </c>
    </row>
    <row r="130" spans="1:17" s="15" customFormat="1" ht="15" customHeight="1">
      <c r="A130" s="51">
        <v>88</v>
      </c>
      <c r="B130" s="51" t="s">
        <v>196</v>
      </c>
      <c r="C130" s="51">
        <v>-73.03</v>
      </c>
      <c r="D130" s="51">
        <v>42.34</v>
      </c>
      <c r="E130" s="62"/>
      <c r="F130" s="66"/>
      <c r="G130" s="66"/>
      <c r="H130" s="66"/>
      <c r="I130" s="66"/>
      <c r="J130" s="66"/>
      <c r="K130" s="66"/>
      <c r="L130" s="66"/>
      <c r="M130" s="66"/>
      <c r="N130" s="52" t="s">
        <v>197</v>
      </c>
      <c r="O130" s="66"/>
      <c r="P130" s="66"/>
      <c r="Q130" s="66"/>
    </row>
    <row r="131" spans="1:17" ht="16.5" customHeight="1">
      <c r="A131" s="10">
        <v>213</v>
      </c>
      <c r="B131" s="10" t="s">
        <v>198</v>
      </c>
      <c r="C131" s="10">
        <v>-84.016999999999996</v>
      </c>
      <c r="D131" s="10">
        <v>10.433</v>
      </c>
      <c r="E131" s="62"/>
      <c r="F131" s="62"/>
      <c r="G131" s="62">
        <f>2.87+3.74+87.07</f>
        <v>93.679999999999993</v>
      </c>
      <c r="H131" s="62"/>
      <c r="I131" s="62">
        <f>(4.06+0.7+0.33)</f>
        <v>5.09</v>
      </c>
      <c r="J131" s="62">
        <f>10.07+64.4</f>
        <v>74.47</v>
      </c>
      <c r="K131" s="62">
        <v>21.38</v>
      </c>
      <c r="L131" s="62"/>
      <c r="M131" s="12" t="s">
        <v>18</v>
      </c>
      <c r="N131" s="10" t="s">
        <v>199</v>
      </c>
      <c r="O131" s="62">
        <v>5</v>
      </c>
      <c r="P131" s="62"/>
      <c r="Q131" s="62"/>
    </row>
    <row r="132" spans="1:17" ht="15" customHeight="1">
      <c r="A132" s="10"/>
      <c r="B132" s="10" t="s">
        <v>198</v>
      </c>
      <c r="C132" s="10">
        <v>-84.016999999999996</v>
      </c>
      <c r="D132" s="10">
        <v>10.433</v>
      </c>
      <c r="E132" s="62"/>
      <c r="F132" s="62"/>
      <c r="G132" s="62">
        <f>((39.55+13.79+16.26+218.57)+(35.57+4.65+10.16+80.18)) /2</f>
        <v>209.36499999999998</v>
      </c>
      <c r="H132" s="62"/>
      <c r="I132" s="62">
        <f>((9.74+0.15+0.81+0.34+1.06)+(0.38+0.03+0.14+1.06+0.19))/2</f>
        <v>6.9500000000000011</v>
      </c>
      <c r="J132" s="62">
        <f>((7.5+65.86)+(10.46+31.95))/2</f>
        <v>57.884999999999998</v>
      </c>
      <c r="K132" s="62">
        <f>((1.31+171.47+4.37+0.5+6.31+80.77+44.37+1.85)+(0.36+3.92+0.95+30.16+15.12+1.05))/2</f>
        <v>181.25500000000002</v>
      </c>
      <c r="L132" s="62"/>
      <c r="M132" s="17" t="s">
        <v>18</v>
      </c>
      <c r="N132" s="10" t="s">
        <v>200</v>
      </c>
      <c r="O132" s="62">
        <v>5</v>
      </c>
      <c r="P132" s="62"/>
      <c r="Q132" s="62"/>
    </row>
    <row r="133" spans="1:17" ht="15" customHeight="1">
      <c r="A133" s="10"/>
      <c r="B133" s="10" t="s">
        <v>198</v>
      </c>
      <c r="C133" s="10">
        <v>-84.016999999999996</v>
      </c>
      <c r="D133" s="10">
        <v>10.433</v>
      </c>
      <c r="E133" s="62"/>
      <c r="F133" s="62">
        <v>363.65</v>
      </c>
      <c r="G133" s="62"/>
      <c r="H133" s="62"/>
      <c r="I133" s="62"/>
      <c r="J133" s="62"/>
      <c r="K133" s="62"/>
      <c r="L133" s="62"/>
      <c r="M133" s="16" t="s">
        <v>18</v>
      </c>
      <c r="N133" s="62" t="s">
        <v>201</v>
      </c>
      <c r="O133" s="62"/>
      <c r="P133" s="62"/>
      <c r="Q133" s="62"/>
    </row>
    <row r="134" spans="1:17" ht="15" customHeight="1">
      <c r="A134" s="10">
        <v>89</v>
      </c>
      <c r="B134" s="10" t="s">
        <v>202</v>
      </c>
      <c r="C134" s="10">
        <v>-112.88</v>
      </c>
      <c r="D134" s="10">
        <v>44.11</v>
      </c>
      <c r="E134" s="10"/>
      <c r="F134" s="10">
        <v>45.4</v>
      </c>
      <c r="G134" s="10">
        <v>6.6710000000000003</v>
      </c>
      <c r="H134" s="10">
        <v>1.95</v>
      </c>
      <c r="I134" s="10">
        <v>6.01</v>
      </c>
      <c r="J134" s="10"/>
      <c r="K134" s="10">
        <v>5.44</v>
      </c>
      <c r="L134" s="10"/>
      <c r="M134" s="16" t="s">
        <v>87</v>
      </c>
      <c r="N134" s="10" t="s">
        <v>203</v>
      </c>
      <c r="O134" s="10">
        <v>10</v>
      </c>
      <c r="P134" s="10"/>
      <c r="Q134" s="10" t="s">
        <v>65</v>
      </c>
    </row>
    <row r="135" spans="1:17" ht="15" customHeight="1">
      <c r="A135" s="10">
        <v>90</v>
      </c>
      <c r="B135" s="10" t="s">
        <v>204</v>
      </c>
      <c r="C135" s="10">
        <v>-113.21</v>
      </c>
      <c r="D135" s="10">
        <v>44</v>
      </c>
      <c r="E135" s="10"/>
      <c r="F135" s="10">
        <v>74.2</v>
      </c>
      <c r="G135" s="10">
        <v>8.77</v>
      </c>
      <c r="H135" s="10">
        <v>2.25</v>
      </c>
      <c r="I135" s="10">
        <v>3.73</v>
      </c>
      <c r="J135" s="10"/>
      <c r="K135" s="10">
        <v>0.27</v>
      </c>
      <c r="L135" s="10"/>
      <c r="M135" s="16" t="s">
        <v>87</v>
      </c>
      <c r="N135" s="10" t="s">
        <v>205</v>
      </c>
      <c r="O135" s="10">
        <v>7.5</v>
      </c>
      <c r="P135" s="10"/>
      <c r="Q135" s="10" t="s">
        <v>65</v>
      </c>
    </row>
    <row r="136" spans="1:17" ht="15" customHeight="1">
      <c r="A136" s="10">
        <v>91</v>
      </c>
      <c r="B136" s="10" t="s">
        <v>206</v>
      </c>
      <c r="C136" s="62">
        <v>-105.08</v>
      </c>
      <c r="D136" s="62">
        <v>40.590000000000003</v>
      </c>
      <c r="E136" s="62">
        <v>26012</v>
      </c>
      <c r="F136" s="62"/>
      <c r="G136" s="62"/>
      <c r="H136" s="62"/>
      <c r="I136" s="62"/>
      <c r="J136" s="62"/>
      <c r="K136" s="62"/>
      <c r="L136" s="62"/>
      <c r="M136" s="16" t="s">
        <v>18</v>
      </c>
      <c r="N136" s="62"/>
      <c r="O136" s="62"/>
      <c r="P136" s="62"/>
      <c r="Q136" s="62" t="s">
        <v>207</v>
      </c>
    </row>
    <row r="137" spans="1:17" ht="15" customHeight="1">
      <c r="A137" s="10">
        <v>92</v>
      </c>
      <c r="B137" s="10" t="s">
        <v>208</v>
      </c>
      <c r="C137" s="62">
        <v>-105.05</v>
      </c>
      <c r="D137" s="62">
        <v>40.58</v>
      </c>
      <c r="E137" s="62">
        <v>61693</v>
      </c>
      <c r="F137" s="62"/>
      <c r="G137" s="62"/>
      <c r="H137" s="62"/>
      <c r="I137" s="62"/>
      <c r="J137" s="62"/>
      <c r="K137" s="62"/>
      <c r="L137" s="62"/>
      <c r="M137" s="16" t="s">
        <v>18</v>
      </c>
      <c r="N137" s="62"/>
      <c r="O137" s="62"/>
      <c r="P137" s="62"/>
      <c r="Q137" s="62" t="s">
        <v>207</v>
      </c>
    </row>
    <row r="138" spans="1:17" ht="15" customHeight="1">
      <c r="A138" s="10">
        <v>93</v>
      </c>
      <c r="B138" s="10" t="s">
        <v>209</v>
      </c>
      <c r="C138" s="62">
        <v>-105.03</v>
      </c>
      <c r="D138" s="62">
        <v>40.57</v>
      </c>
      <c r="E138" s="62">
        <v>50939</v>
      </c>
      <c r="F138" s="62"/>
      <c r="G138" s="62"/>
      <c r="H138" s="62"/>
      <c r="I138" s="62"/>
      <c r="J138" s="62"/>
      <c r="K138" s="62"/>
      <c r="L138" s="62"/>
      <c r="M138" s="17" t="s">
        <v>18</v>
      </c>
      <c r="N138" s="62"/>
      <c r="O138" s="62"/>
      <c r="P138" s="62"/>
      <c r="Q138" s="62" t="s">
        <v>207</v>
      </c>
    </row>
    <row r="139" spans="1:17" ht="15" customHeight="1">
      <c r="A139" s="10">
        <v>97</v>
      </c>
      <c r="B139" s="10" t="s">
        <v>210</v>
      </c>
      <c r="C139" s="10">
        <v>-105</v>
      </c>
      <c r="D139" s="10">
        <v>40.54</v>
      </c>
      <c r="E139" s="10">
        <v>48.4</v>
      </c>
      <c r="F139" s="10"/>
      <c r="G139" s="10"/>
      <c r="H139" s="10"/>
      <c r="I139" s="10"/>
      <c r="J139" s="10"/>
      <c r="K139" s="10"/>
      <c r="L139" s="10"/>
      <c r="M139" s="68" t="s">
        <v>55</v>
      </c>
      <c r="N139" s="10" t="s">
        <v>211</v>
      </c>
      <c r="O139" s="10"/>
      <c r="P139" s="10"/>
      <c r="Q139" s="10" t="s">
        <v>212</v>
      </c>
    </row>
    <row r="140" spans="1:17" ht="15" customHeight="1">
      <c r="A140" s="10">
        <v>98</v>
      </c>
      <c r="B140" s="10" t="s">
        <v>213</v>
      </c>
      <c r="C140" s="10">
        <v>-104.99</v>
      </c>
      <c r="D140" s="10">
        <v>40.53</v>
      </c>
      <c r="E140" s="10">
        <v>52.2</v>
      </c>
      <c r="F140" s="10"/>
      <c r="G140" s="10"/>
      <c r="H140" s="10"/>
      <c r="I140" s="10"/>
      <c r="J140" s="10"/>
      <c r="K140" s="10"/>
      <c r="L140" s="10"/>
      <c r="M140" s="68" t="s">
        <v>55</v>
      </c>
      <c r="N140" s="10" t="s">
        <v>211</v>
      </c>
      <c r="O140" s="10"/>
      <c r="P140" s="10"/>
      <c r="Q140" s="10" t="s">
        <v>212</v>
      </c>
    </row>
    <row r="141" spans="1:17">
      <c r="A141" s="10">
        <v>99</v>
      </c>
      <c r="B141" s="10" t="s">
        <v>214</v>
      </c>
      <c r="C141" s="10">
        <v>-104.98</v>
      </c>
      <c r="D141" s="10">
        <v>40.51</v>
      </c>
      <c r="E141" s="10">
        <v>32</v>
      </c>
      <c r="F141" s="10"/>
      <c r="G141" s="10"/>
      <c r="H141" s="10"/>
      <c r="I141" s="10"/>
      <c r="J141" s="10"/>
      <c r="K141" s="10"/>
      <c r="L141" s="10"/>
      <c r="M141" s="69" t="s">
        <v>55</v>
      </c>
      <c r="N141" s="10" t="s">
        <v>211</v>
      </c>
      <c r="O141" s="10"/>
      <c r="P141" s="10"/>
      <c r="Q141" s="10" t="s">
        <v>212</v>
      </c>
    </row>
    <row r="142" spans="1:17">
      <c r="A142" s="10">
        <v>154</v>
      </c>
      <c r="B142" s="10" t="s">
        <v>215</v>
      </c>
      <c r="C142" s="10">
        <v>-80.822999999999993</v>
      </c>
      <c r="D142" s="10">
        <v>33.941000000000003</v>
      </c>
      <c r="E142" s="10">
        <v>1962</v>
      </c>
      <c r="F142" s="10"/>
      <c r="G142" s="10"/>
      <c r="H142" s="10"/>
      <c r="I142" s="10"/>
      <c r="J142" s="10"/>
      <c r="K142" s="10"/>
      <c r="L142" s="10"/>
      <c r="M142" s="16" t="s">
        <v>23</v>
      </c>
      <c r="N142" s="62" t="s">
        <v>216</v>
      </c>
      <c r="O142" s="10"/>
      <c r="P142" s="10"/>
      <c r="Q142" s="10" t="s">
        <v>217</v>
      </c>
    </row>
    <row r="143" spans="1:17" ht="15" customHeight="1">
      <c r="A143" s="10">
        <v>153</v>
      </c>
      <c r="B143" s="10" t="s">
        <v>218</v>
      </c>
      <c r="C143" s="10">
        <v>-80.828999999999994</v>
      </c>
      <c r="D143" s="10">
        <v>33.972999999999999</v>
      </c>
      <c r="E143" s="10">
        <v>3093</v>
      </c>
      <c r="F143" s="10"/>
      <c r="G143" s="10"/>
      <c r="H143" s="10"/>
      <c r="I143" s="10"/>
      <c r="J143" s="10"/>
      <c r="K143" s="10"/>
      <c r="L143" s="10"/>
      <c r="M143" s="17" t="s">
        <v>23</v>
      </c>
      <c r="N143" s="62" t="s">
        <v>216</v>
      </c>
      <c r="O143" s="10"/>
      <c r="P143" s="10"/>
      <c r="Q143" s="10" t="s">
        <v>217</v>
      </c>
    </row>
    <row r="144" spans="1:17" ht="15" customHeight="1">
      <c r="A144" s="10">
        <v>152</v>
      </c>
      <c r="B144" s="10" t="s">
        <v>219</v>
      </c>
      <c r="C144" s="10">
        <v>-80.832999999999998</v>
      </c>
      <c r="D144" s="10">
        <v>34.015999999999998</v>
      </c>
      <c r="E144" s="10">
        <v>4106</v>
      </c>
      <c r="F144" s="10"/>
      <c r="G144" s="10"/>
      <c r="H144" s="10"/>
      <c r="I144" s="10"/>
      <c r="J144" s="10"/>
      <c r="K144" s="10"/>
      <c r="L144" s="10"/>
      <c r="M144" s="17" t="s">
        <v>23</v>
      </c>
      <c r="N144" s="62" t="s">
        <v>216</v>
      </c>
      <c r="O144" s="10"/>
      <c r="P144" s="10"/>
      <c r="Q144" s="10" t="s">
        <v>220</v>
      </c>
    </row>
    <row r="145" spans="1:17" ht="15" customHeight="1">
      <c r="A145" s="10">
        <v>100</v>
      </c>
      <c r="B145" s="10" t="s">
        <v>221</v>
      </c>
      <c r="C145" s="10">
        <v>-77.09</v>
      </c>
      <c r="D145" s="10">
        <v>37.14</v>
      </c>
      <c r="E145" s="62">
        <v>5.6</v>
      </c>
      <c r="F145" s="62"/>
      <c r="G145" s="62"/>
      <c r="H145" s="62"/>
      <c r="I145" s="62"/>
      <c r="J145" s="62"/>
      <c r="K145" s="62"/>
      <c r="L145" s="62"/>
      <c r="M145" s="17" t="s">
        <v>87</v>
      </c>
      <c r="N145" s="62" t="s">
        <v>222</v>
      </c>
      <c r="O145" s="62">
        <v>2.5</v>
      </c>
      <c r="P145" s="62"/>
      <c r="Q145" s="62" t="s">
        <v>223</v>
      </c>
    </row>
    <row r="146" spans="1:17" ht="15" customHeight="1">
      <c r="A146" s="10">
        <v>101</v>
      </c>
      <c r="B146" s="10" t="s">
        <v>224</v>
      </c>
      <c r="C146" s="10">
        <v>-77.03</v>
      </c>
      <c r="D146" s="10">
        <v>37.11</v>
      </c>
      <c r="E146" s="62">
        <v>6.2</v>
      </c>
      <c r="F146" s="62"/>
      <c r="G146" s="62"/>
      <c r="H146" s="62"/>
      <c r="I146" s="62"/>
      <c r="J146" s="62"/>
      <c r="K146" s="62"/>
      <c r="L146" s="62"/>
      <c r="M146" s="17" t="s">
        <v>87</v>
      </c>
      <c r="N146" s="62" t="s">
        <v>222</v>
      </c>
      <c r="O146" s="62">
        <v>3</v>
      </c>
      <c r="P146" s="62"/>
      <c r="Q146" s="62" t="s">
        <v>225</v>
      </c>
    </row>
    <row r="147" spans="1:17" ht="15" customHeight="1">
      <c r="A147" s="10">
        <v>102</v>
      </c>
      <c r="B147" s="10" t="s">
        <v>226</v>
      </c>
      <c r="C147" s="10">
        <v>-96.58</v>
      </c>
      <c r="D147" s="10">
        <v>39.08</v>
      </c>
      <c r="E147" s="10">
        <v>19700</v>
      </c>
      <c r="F147" s="10">
        <v>16779.599999999999</v>
      </c>
      <c r="G147" s="10">
        <v>3065.7</v>
      </c>
      <c r="H147" s="10">
        <v>449.4</v>
      </c>
      <c r="I147" s="10">
        <v>1585.4</v>
      </c>
      <c r="J147" s="10">
        <v>4400</v>
      </c>
      <c r="K147" s="10"/>
      <c r="L147" s="10"/>
      <c r="M147" s="17" t="s">
        <v>18</v>
      </c>
      <c r="N147" s="10" t="s">
        <v>227</v>
      </c>
      <c r="O147" s="10">
        <v>1.6</v>
      </c>
      <c r="P147" s="10" t="s">
        <v>228</v>
      </c>
      <c r="Q147" s="10" t="s">
        <v>229</v>
      </c>
    </row>
    <row r="148" spans="1:17" ht="15" customHeight="1">
      <c r="A148" s="10">
        <v>219</v>
      </c>
      <c r="B148" s="10" t="s">
        <v>230</v>
      </c>
      <c r="C148" s="10">
        <v>0.1</v>
      </c>
      <c r="D148" s="10">
        <v>51.075000000000003</v>
      </c>
      <c r="E148" s="62">
        <v>5220</v>
      </c>
      <c r="F148" s="62">
        <v>2450</v>
      </c>
      <c r="G148" s="62">
        <v>70</v>
      </c>
      <c r="H148" s="62">
        <v>850</v>
      </c>
      <c r="I148" s="62">
        <v>460</v>
      </c>
      <c r="J148" s="62">
        <v>850</v>
      </c>
      <c r="K148" s="62">
        <v>230</v>
      </c>
      <c r="L148" s="62"/>
      <c r="M148" s="70" t="s">
        <v>23</v>
      </c>
      <c r="N148" s="62" t="s">
        <v>231</v>
      </c>
      <c r="O148" s="62">
        <v>3</v>
      </c>
      <c r="P148" s="62"/>
      <c r="Q148" s="62"/>
    </row>
    <row r="149" spans="1:17" ht="15" customHeight="1">
      <c r="A149" s="10">
        <v>103</v>
      </c>
      <c r="B149" s="10" t="s">
        <v>232</v>
      </c>
      <c r="C149" s="10">
        <v>-83.43</v>
      </c>
      <c r="D149" s="10">
        <v>35.06</v>
      </c>
      <c r="E149" s="10">
        <v>4363</v>
      </c>
      <c r="F149" s="10"/>
      <c r="G149" s="10"/>
      <c r="H149" s="10"/>
      <c r="I149" s="10"/>
      <c r="J149" s="10"/>
      <c r="K149" s="10"/>
      <c r="L149" s="10"/>
      <c r="M149" s="17" t="s">
        <v>18</v>
      </c>
      <c r="N149" s="10" t="s">
        <v>233</v>
      </c>
      <c r="O149" s="10"/>
      <c r="P149" s="10" t="s">
        <v>234</v>
      </c>
      <c r="Q149" s="10" t="s">
        <v>207</v>
      </c>
    </row>
    <row r="150" spans="1:17" ht="15" customHeight="1">
      <c r="A150" s="10">
        <v>104</v>
      </c>
      <c r="B150" s="10" t="s">
        <v>235</v>
      </c>
      <c r="C150" s="10">
        <v>-83.43</v>
      </c>
      <c r="D150" s="10">
        <v>35.049999999999997</v>
      </c>
      <c r="E150" s="10">
        <v>8311</v>
      </c>
      <c r="F150" s="10"/>
      <c r="G150" s="10"/>
      <c r="H150" s="10"/>
      <c r="I150" s="10"/>
      <c r="J150" s="10"/>
      <c r="K150" s="10"/>
      <c r="L150" s="10"/>
      <c r="M150" s="17" t="s">
        <v>18</v>
      </c>
      <c r="N150" s="10" t="s">
        <v>233</v>
      </c>
      <c r="O150" s="10"/>
      <c r="P150" s="10" t="s">
        <v>236</v>
      </c>
      <c r="Q150" s="10" t="s">
        <v>207</v>
      </c>
    </row>
    <row r="151" spans="1:17" ht="15" customHeight="1">
      <c r="A151" s="10">
        <v>221</v>
      </c>
      <c r="B151" s="10" t="s">
        <v>237</v>
      </c>
      <c r="C151" s="10">
        <v>-1.35</v>
      </c>
      <c r="D151" s="10">
        <v>51.424999999999997</v>
      </c>
      <c r="E151" s="10">
        <v>22550</v>
      </c>
      <c r="F151" s="10">
        <v>9.9499999999999993</v>
      </c>
      <c r="G151" s="10">
        <v>1.03</v>
      </c>
      <c r="H151" s="10">
        <v>0.83</v>
      </c>
      <c r="I151" s="10">
        <v>3.04</v>
      </c>
      <c r="J151" s="10">
        <v>0.36</v>
      </c>
      <c r="K151" s="10"/>
      <c r="L151" s="10"/>
      <c r="M151" s="17" t="s">
        <v>18</v>
      </c>
      <c r="N151" s="10" t="s">
        <v>238</v>
      </c>
      <c r="O151" s="10">
        <v>4.5</v>
      </c>
      <c r="P151" s="10"/>
      <c r="Q151" s="10" t="s">
        <v>239</v>
      </c>
    </row>
    <row r="152" spans="1:17" ht="15" customHeight="1">
      <c r="A152" s="10">
        <v>220</v>
      </c>
      <c r="B152" s="10" t="s">
        <v>240</v>
      </c>
      <c r="C152" s="10">
        <v>-1.35</v>
      </c>
      <c r="D152" s="10">
        <v>51.424999999999997</v>
      </c>
      <c r="E152" s="10">
        <v>64990</v>
      </c>
      <c r="F152" s="10">
        <v>31.86</v>
      </c>
      <c r="G152" s="10">
        <v>2.2999999999999998</v>
      </c>
      <c r="H152" s="10">
        <v>6.0000000000000001E-3</v>
      </c>
      <c r="I152" s="10">
        <v>15.42</v>
      </c>
      <c r="J152" s="10">
        <v>0.98</v>
      </c>
      <c r="K152" s="10"/>
      <c r="L152" s="10"/>
      <c r="M152" s="17" t="s">
        <v>18</v>
      </c>
      <c r="N152" s="10" t="s">
        <v>238</v>
      </c>
      <c r="O152" s="10">
        <v>4.5</v>
      </c>
      <c r="P152" s="10"/>
      <c r="Q152" s="10" t="s">
        <v>217</v>
      </c>
    </row>
    <row r="153" spans="1:17" ht="15" customHeight="1">
      <c r="A153" s="10">
        <v>105</v>
      </c>
      <c r="B153" s="10" t="s">
        <v>241</v>
      </c>
      <c r="C153" s="10">
        <v>-96.57</v>
      </c>
      <c r="D153" s="10">
        <v>39.1</v>
      </c>
      <c r="E153" s="10">
        <v>25182.400000000001</v>
      </c>
      <c r="F153" s="10">
        <v>10711.4</v>
      </c>
      <c r="G153" s="10">
        <v>5896.9</v>
      </c>
      <c r="H153" s="10">
        <v>43.1</v>
      </c>
      <c r="I153" s="10">
        <v>431.6</v>
      </c>
      <c r="J153" s="62"/>
      <c r="K153" s="62">
        <f>E153-F153</f>
        <v>14471.000000000002</v>
      </c>
      <c r="L153" s="62"/>
      <c r="M153" s="70" t="s">
        <v>18</v>
      </c>
      <c r="N153" s="62"/>
      <c r="O153" s="62"/>
      <c r="P153" s="62"/>
      <c r="Q153" s="62"/>
    </row>
    <row r="154" spans="1:17" ht="15" customHeight="1">
      <c r="A154" s="10">
        <v>106</v>
      </c>
      <c r="B154" s="10" t="s">
        <v>242</v>
      </c>
      <c r="C154" s="10">
        <v>-96.57</v>
      </c>
      <c r="D154" s="10">
        <v>39.1</v>
      </c>
      <c r="E154" s="10">
        <v>26392.9</v>
      </c>
      <c r="F154" s="10">
        <v>9087.7999999999993</v>
      </c>
      <c r="G154" s="10">
        <v>4212.2</v>
      </c>
      <c r="H154" s="10">
        <v>46.9</v>
      </c>
      <c r="I154" s="10">
        <v>124.1</v>
      </c>
      <c r="J154" s="62"/>
      <c r="K154" s="62">
        <f>E154-F154</f>
        <v>17305.100000000002</v>
      </c>
      <c r="L154" s="62"/>
      <c r="M154" s="70" t="s">
        <v>18</v>
      </c>
      <c r="N154" s="62"/>
      <c r="O154" s="62"/>
      <c r="P154" s="62"/>
      <c r="Q154" s="62"/>
    </row>
    <row r="155" spans="1:17" ht="15" customHeight="1">
      <c r="A155" s="10">
        <v>107</v>
      </c>
      <c r="B155" s="10" t="s">
        <v>243</v>
      </c>
      <c r="C155" s="10">
        <v>-96.57</v>
      </c>
      <c r="D155" s="10">
        <v>39.1</v>
      </c>
      <c r="E155" s="10">
        <v>17141</v>
      </c>
      <c r="F155" s="10">
        <v>8123.2</v>
      </c>
      <c r="G155" s="10">
        <v>3409</v>
      </c>
      <c r="H155" s="10">
        <v>111.4</v>
      </c>
      <c r="I155" s="10">
        <v>267.5</v>
      </c>
      <c r="J155" s="62"/>
      <c r="K155" s="62">
        <f>E155-F155</f>
        <v>9017.7999999999993</v>
      </c>
      <c r="L155" s="62"/>
      <c r="M155" s="70" t="s">
        <v>18</v>
      </c>
      <c r="N155" s="62"/>
      <c r="O155" s="62"/>
      <c r="P155" s="62"/>
      <c r="Q155" s="62"/>
    </row>
    <row r="156" spans="1:17" ht="15" customHeight="1">
      <c r="A156" s="10">
        <v>108</v>
      </c>
      <c r="B156" s="10" t="s">
        <v>244</v>
      </c>
      <c r="C156" s="10">
        <v>-96.58</v>
      </c>
      <c r="D156" s="10">
        <v>39.08</v>
      </c>
      <c r="E156" s="10">
        <v>9778</v>
      </c>
      <c r="F156" s="10">
        <v>8802</v>
      </c>
      <c r="G156" s="10">
        <v>3661</v>
      </c>
      <c r="H156" s="10">
        <v>86.4</v>
      </c>
      <c r="I156" s="10">
        <v>338.5</v>
      </c>
      <c r="J156" s="62"/>
      <c r="K156" s="62">
        <f>E156-F156</f>
        <v>976</v>
      </c>
      <c r="L156" s="62"/>
      <c r="M156" s="70" t="s">
        <v>18</v>
      </c>
      <c r="N156" s="62"/>
      <c r="O156" s="62"/>
      <c r="P156" s="62"/>
      <c r="Q156" s="62"/>
    </row>
    <row r="157" spans="1:17" ht="15" customHeight="1">
      <c r="A157" s="10">
        <v>109</v>
      </c>
      <c r="B157" s="10" t="s">
        <v>245</v>
      </c>
      <c r="C157" s="10">
        <v>-96.58</v>
      </c>
      <c r="D157" s="10">
        <v>39.08</v>
      </c>
      <c r="E157" s="10">
        <v>7324</v>
      </c>
      <c r="F157" s="10">
        <v>6142</v>
      </c>
      <c r="G157" s="10">
        <v>2794</v>
      </c>
      <c r="H157" s="10">
        <v>75.8</v>
      </c>
      <c r="I157" s="10">
        <v>301.7</v>
      </c>
      <c r="J157" s="62"/>
      <c r="K157" s="62">
        <f>E157-F157</f>
        <v>1182</v>
      </c>
      <c r="L157" s="62"/>
      <c r="M157" s="70" t="s">
        <v>18</v>
      </c>
      <c r="N157" s="62"/>
      <c r="O157" s="62"/>
      <c r="P157" s="62"/>
      <c r="Q157" s="62"/>
    </row>
    <row r="158" spans="1:17" ht="15" customHeight="1">
      <c r="A158" s="10">
        <v>110</v>
      </c>
      <c r="B158" s="10" t="s">
        <v>246</v>
      </c>
      <c r="C158" s="10">
        <v>-96.58</v>
      </c>
      <c r="D158" s="10">
        <v>39.08</v>
      </c>
      <c r="E158" s="10">
        <v>12263</v>
      </c>
      <c r="F158" s="10">
        <v>8801.9</v>
      </c>
      <c r="G158" s="10">
        <v>5066.8999999999996</v>
      </c>
      <c r="H158" s="10">
        <v>84.2</v>
      </c>
      <c r="I158" s="10">
        <v>659.4</v>
      </c>
      <c r="J158" s="62"/>
      <c r="K158" s="62">
        <f>E158-F158</f>
        <v>3461.1000000000004</v>
      </c>
      <c r="L158" s="62"/>
      <c r="M158" s="70" t="s">
        <v>18</v>
      </c>
      <c r="N158" s="62"/>
      <c r="O158" s="62"/>
      <c r="P158" s="62"/>
      <c r="Q158" s="62"/>
    </row>
    <row r="159" spans="1:17" ht="15" customHeight="1">
      <c r="A159" s="10">
        <v>111</v>
      </c>
      <c r="B159" s="10" t="s">
        <v>247</v>
      </c>
      <c r="C159" s="10">
        <v>-85.98</v>
      </c>
      <c r="D159" s="10">
        <v>34.79</v>
      </c>
      <c r="E159" s="62">
        <f>0.15*1000</f>
        <v>150</v>
      </c>
      <c r="F159" s="10"/>
      <c r="G159" s="10"/>
      <c r="H159" s="10"/>
      <c r="I159" s="10"/>
      <c r="J159" s="62"/>
      <c r="K159" s="62"/>
      <c r="L159" s="62"/>
      <c r="M159" s="70" t="s">
        <v>18</v>
      </c>
      <c r="N159" s="10" t="s">
        <v>248</v>
      </c>
      <c r="O159" s="62"/>
      <c r="P159" s="62"/>
      <c r="Q159" s="62" t="s">
        <v>249</v>
      </c>
    </row>
    <row r="160" spans="1:17" ht="15" customHeight="1">
      <c r="A160" s="10">
        <v>112</v>
      </c>
      <c r="B160" s="10" t="s">
        <v>250</v>
      </c>
      <c r="C160" s="10">
        <v>-85.98</v>
      </c>
      <c r="D160" s="10">
        <v>34.79</v>
      </c>
      <c r="E160" s="62">
        <f>0.27*1000</f>
        <v>270</v>
      </c>
      <c r="F160" s="10"/>
      <c r="G160" s="10"/>
      <c r="H160" s="10"/>
      <c r="I160" s="10"/>
      <c r="J160" s="62"/>
      <c r="K160" s="62"/>
      <c r="L160" s="62"/>
      <c r="M160" s="70" t="s">
        <v>18</v>
      </c>
      <c r="N160" s="10" t="s">
        <v>248</v>
      </c>
      <c r="O160" s="62"/>
      <c r="P160" s="62"/>
      <c r="Q160" s="62" t="s">
        <v>249</v>
      </c>
    </row>
    <row r="161" spans="1:17">
      <c r="A161" s="10">
        <v>113</v>
      </c>
      <c r="B161" s="10" t="s">
        <v>251</v>
      </c>
      <c r="C161" s="10">
        <v>-85.98</v>
      </c>
      <c r="D161" s="10">
        <v>34.79</v>
      </c>
      <c r="E161" s="62">
        <f>1.8*1000</f>
        <v>1800</v>
      </c>
      <c r="F161" s="10"/>
      <c r="G161" s="10"/>
      <c r="H161" s="10"/>
      <c r="I161" s="10"/>
      <c r="J161" s="62"/>
      <c r="K161" s="62"/>
      <c r="L161" s="62"/>
      <c r="M161" s="70" t="s">
        <v>18</v>
      </c>
      <c r="N161" s="10" t="s">
        <v>248</v>
      </c>
      <c r="O161" s="62"/>
      <c r="P161" s="62"/>
      <c r="Q161" s="62" t="s">
        <v>249</v>
      </c>
    </row>
    <row r="162" spans="1:17">
      <c r="A162" s="18">
        <v>143</v>
      </c>
      <c r="B162" s="18" t="s">
        <v>252</v>
      </c>
      <c r="C162" s="18">
        <v>-80.885999999999996</v>
      </c>
      <c r="D162" s="18">
        <v>37.646000000000001</v>
      </c>
      <c r="E162" s="62"/>
      <c r="F162" s="71"/>
      <c r="G162" s="71"/>
      <c r="H162" s="71"/>
      <c r="I162" s="71"/>
      <c r="J162" s="71"/>
      <c r="K162" s="71"/>
      <c r="L162" s="71"/>
      <c r="M162" s="72"/>
      <c r="N162" s="19" t="s">
        <v>253</v>
      </c>
      <c r="O162" s="71"/>
      <c r="P162" s="71"/>
      <c r="Q162" s="71"/>
    </row>
    <row r="163" spans="1:17">
      <c r="A163" s="63">
        <v>114</v>
      </c>
      <c r="B163" s="63" t="s">
        <v>254</v>
      </c>
      <c r="C163" s="10">
        <v>-83.45</v>
      </c>
      <c r="D163" s="10">
        <v>35.049999999999997</v>
      </c>
      <c r="E163" s="63">
        <v>4453</v>
      </c>
      <c r="F163" s="63"/>
      <c r="G163" s="63"/>
      <c r="H163" s="63"/>
      <c r="I163" s="63"/>
      <c r="J163" s="63"/>
      <c r="K163" s="63"/>
      <c r="L163" s="63"/>
      <c r="M163" s="16" t="s">
        <v>18</v>
      </c>
      <c r="N163" s="63" t="s">
        <v>255</v>
      </c>
      <c r="O163" s="63"/>
      <c r="P163" s="62"/>
      <c r="Q163" s="62"/>
    </row>
    <row r="164" spans="1:17" ht="26.25" customHeight="1">
      <c r="A164" s="63">
        <v>115</v>
      </c>
      <c r="B164" s="63" t="s">
        <v>256</v>
      </c>
      <c r="C164" s="10">
        <v>-83.45</v>
      </c>
      <c r="D164" s="10">
        <v>35.049999999999997</v>
      </c>
      <c r="E164" s="63">
        <v>11918</v>
      </c>
      <c r="F164" s="63"/>
      <c r="G164" s="63"/>
      <c r="H164" s="63"/>
      <c r="I164" s="63"/>
      <c r="J164" s="63"/>
      <c r="K164" s="63"/>
      <c r="L164" s="63"/>
      <c r="M164" s="16" t="s">
        <v>18</v>
      </c>
      <c r="N164" s="63" t="s">
        <v>255</v>
      </c>
      <c r="O164" s="63"/>
      <c r="P164" s="62"/>
      <c r="Q164" s="62"/>
    </row>
    <row r="165" spans="1:17">
      <c r="A165" s="63">
        <v>116</v>
      </c>
      <c r="B165" s="63" t="s">
        <v>257</v>
      </c>
      <c r="C165" s="10">
        <v>-83.45</v>
      </c>
      <c r="D165" s="10">
        <v>35.04</v>
      </c>
      <c r="E165" s="63">
        <v>5210</v>
      </c>
      <c r="F165" s="63"/>
      <c r="G165" s="63"/>
      <c r="H165" s="63"/>
      <c r="I165" s="63"/>
      <c r="J165" s="63"/>
      <c r="K165" s="63"/>
      <c r="L165" s="63"/>
      <c r="M165" s="16" t="s">
        <v>18</v>
      </c>
      <c r="N165" s="63" t="s">
        <v>255</v>
      </c>
      <c r="O165" s="63"/>
      <c r="P165" s="62"/>
      <c r="Q165" s="62"/>
    </row>
    <row r="166" spans="1:17">
      <c r="A166" s="63">
        <v>117</v>
      </c>
      <c r="B166" s="20" t="s">
        <v>258</v>
      </c>
      <c r="C166" s="10">
        <v>-83.45</v>
      </c>
      <c r="D166" s="10">
        <v>35.04</v>
      </c>
      <c r="E166" s="63">
        <v>9233</v>
      </c>
      <c r="F166" s="63"/>
      <c r="G166" s="63"/>
      <c r="H166" s="63"/>
      <c r="I166" s="63"/>
      <c r="J166" s="63"/>
      <c r="K166" s="63"/>
      <c r="L166" s="63"/>
      <c r="M166" s="16" t="s">
        <v>18</v>
      </c>
      <c r="N166" s="63" t="s">
        <v>255</v>
      </c>
      <c r="O166" s="63"/>
      <c r="P166" s="62"/>
      <c r="Q166" s="62"/>
    </row>
    <row r="167" spans="1:17">
      <c r="A167" s="10">
        <v>120</v>
      </c>
      <c r="B167" s="10" t="s">
        <v>259</v>
      </c>
      <c r="C167" s="10">
        <v>-89.16</v>
      </c>
      <c r="D167" s="10">
        <v>37.409999999999997</v>
      </c>
      <c r="E167" s="62">
        <f>(30.851+21.327)*1000</f>
        <v>52178</v>
      </c>
      <c r="F167" s="62"/>
      <c r="G167" s="62"/>
      <c r="H167" s="62"/>
      <c r="I167" s="62"/>
      <c r="J167" s="62"/>
      <c r="K167" s="62"/>
      <c r="L167" s="62"/>
      <c r="M167" s="73" t="s">
        <v>18</v>
      </c>
      <c r="N167" s="62" t="s">
        <v>260</v>
      </c>
      <c r="O167" s="62">
        <v>6.4</v>
      </c>
      <c r="P167" s="62"/>
      <c r="Q167" s="62"/>
    </row>
    <row r="168" spans="1:17">
      <c r="A168" s="10">
        <v>121</v>
      </c>
      <c r="B168" s="10" t="s">
        <v>261</v>
      </c>
      <c r="C168" s="10">
        <v>-89.16</v>
      </c>
      <c r="D168" s="10">
        <v>37.409999999999997</v>
      </c>
      <c r="E168" s="62">
        <f>(15.902+18.561)*1000</f>
        <v>34463</v>
      </c>
      <c r="F168" s="62"/>
      <c r="G168" s="62"/>
      <c r="H168" s="62"/>
      <c r="I168" s="62"/>
      <c r="J168" s="62"/>
      <c r="K168" s="62"/>
      <c r="L168" s="62"/>
      <c r="M168" s="73" t="s">
        <v>18</v>
      </c>
      <c r="N168" s="21" t="s">
        <v>262</v>
      </c>
      <c r="O168" s="62">
        <v>6.4</v>
      </c>
      <c r="P168" s="62"/>
      <c r="Q168" s="62"/>
    </row>
    <row r="169" spans="1:17">
      <c r="A169" s="62">
        <v>122</v>
      </c>
      <c r="B169" s="62" t="s">
        <v>263</v>
      </c>
      <c r="C169" s="10">
        <v>-89.15</v>
      </c>
      <c r="D169" s="10">
        <v>37.4</v>
      </c>
      <c r="E169" s="62">
        <f>(23.886+28.267)*1000</f>
        <v>52153</v>
      </c>
      <c r="F169" s="62"/>
      <c r="G169" s="62"/>
      <c r="H169" s="62"/>
      <c r="I169" s="62"/>
      <c r="J169" s="62"/>
      <c r="K169" s="62"/>
      <c r="L169" s="62"/>
      <c r="M169" s="73" t="s">
        <v>18</v>
      </c>
      <c r="N169" s="21" t="s">
        <v>262</v>
      </c>
      <c r="O169" s="62">
        <v>4.5999999999999996</v>
      </c>
      <c r="P169" s="62"/>
      <c r="Q169" s="62"/>
    </row>
    <row r="170" spans="1:17">
      <c r="A170" s="62">
        <v>123</v>
      </c>
      <c r="B170" s="62" t="s">
        <v>264</v>
      </c>
      <c r="C170" s="10">
        <v>-89.15</v>
      </c>
      <c r="D170" s="10">
        <v>37.4</v>
      </c>
      <c r="E170" s="62">
        <f>(17.197+13.299)*1000</f>
        <v>30496</v>
      </c>
      <c r="F170" s="62"/>
      <c r="G170" s="62"/>
      <c r="H170" s="62"/>
      <c r="I170" s="62"/>
      <c r="J170" s="62"/>
      <c r="K170" s="62"/>
      <c r="L170" s="62"/>
      <c r="M170" s="73" t="s">
        <v>18</v>
      </c>
      <c r="N170" s="21" t="s">
        <v>262</v>
      </c>
      <c r="O170" s="62">
        <v>4.5999999999999996</v>
      </c>
      <c r="P170" s="62"/>
      <c r="Q170" s="62"/>
    </row>
    <row r="171" spans="1:17">
      <c r="A171" s="10">
        <v>128</v>
      </c>
      <c r="B171" s="10" t="s">
        <v>265</v>
      </c>
      <c r="C171" s="10">
        <v>-96.61</v>
      </c>
      <c r="D171" s="10">
        <v>39.11</v>
      </c>
      <c r="E171" s="10">
        <v>17025</v>
      </c>
      <c r="F171" s="10"/>
      <c r="G171" s="10"/>
      <c r="H171" s="10"/>
      <c r="I171" s="10"/>
      <c r="J171" s="10"/>
      <c r="K171" s="10"/>
      <c r="L171" s="10"/>
      <c r="M171" s="16" t="s">
        <v>18</v>
      </c>
      <c r="N171" s="10" t="s">
        <v>266</v>
      </c>
      <c r="O171" s="10">
        <v>1.6</v>
      </c>
      <c r="P171" s="10">
        <v>10.59</v>
      </c>
      <c r="Q171" s="10" t="s">
        <v>207</v>
      </c>
    </row>
    <row r="172" spans="1:17">
      <c r="A172" s="10">
        <v>129</v>
      </c>
      <c r="B172" s="10" t="s">
        <v>267</v>
      </c>
      <c r="C172" s="10">
        <v>-96.58</v>
      </c>
      <c r="D172" s="10">
        <v>39.08</v>
      </c>
      <c r="E172" s="10">
        <v>31864</v>
      </c>
      <c r="F172" s="10"/>
      <c r="G172" s="10"/>
      <c r="H172" s="10"/>
      <c r="I172" s="10"/>
      <c r="J172" s="10"/>
      <c r="K172" s="10"/>
      <c r="L172" s="10"/>
      <c r="M172" s="16" t="s">
        <v>18</v>
      </c>
      <c r="N172" s="10" t="s">
        <v>266</v>
      </c>
      <c r="O172" s="10">
        <v>0.7</v>
      </c>
      <c r="P172" s="10">
        <v>0.55000000000000004</v>
      </c>
      <c r="Q172" s="10" t="s">
        <v>207</v>
      </c>
    </row>
    <row r="173" spans="1:17" ht="15" customHeight="1">
      <c r="A173" s="10">
        <v>130</v>
      </c>
      <c r="B173" s="10" t="s">
        <v>268</v>
      </c>
      <c r="C173" s="10">
        <v>-96.58</v>
      </c>
      <c r="D173" s="10">
        <v>39.090000000000003</v>
      </c>
      <c r="E173" s="10">
        <v>9116</v>
      </c>
      <c r="F173" s="10"/>
      <c r="G173" s="10"/>
      <c r="H173" s="10"/>
      <c r="I173" s="10"/>
      <c r="J173" s="10"/>
      <c r="K173" s="10"/>
      <c r="L173" s="10"/>
      <c r="M173" s="12" t="s">
        <v>18</v>
      </c>
      <c r="N173" s="10" t="s">
        <v>266</v>
      </c>
      <c r="O173" s="10">
        <v>0.9</v>
      </c>
      <c r="P173" s="10">
        <v>1.34</v>
      </c>
      <c r="Q173" s="10" t="s">
        <v>207</v>
      </c>
    </row>
    <row r="174" spans="1:17" ht="15" customHeight="1">
      <c r="A174" s="10">
        <v>155</v>
      </c>
      <c r="B174" s="10" t="s">
        <v>269</v>
      </c>
      <c r="C174" s="10">
        <v>0.05</v>
      </c>
      <c r="D174" s="10">
        <v>51.082999999999998</v>
      </c>
      <c r="E174" s="62">
        <v>4.5999999999999996</v>
      </c>
      <c r="F174" s="62">
        <v>3.6</v>
      </c>
      <c r="G174" s="10">
        <v>1E-3</v>
      </c>
      <c r="H174" s="10">
        <v>0.89500000000000002</v>
      </c>
      <c r="I174" s="10">
        <v>0.77</v>
      </c>
      <c r="J174" s="10">
        <v>1.4350000000000001</v>
      </c>
      <c r="K174" s="62">
        <v>0.51200000000000001</v>
      </c>
      <c r="L174" s="62"/>
      <c r="M174" s="62" t="s">
        <v>87</v>
      </c>
      <c r="N174" s="10"/>
      <c r="O174" s="62"/>
      <c r="P174" s="62"/>
      <c r="Q174" s="62" t="s">
        <v>217</v>
      </c>
    </row>
    <row r="175" spans="1:17">
      <c r="A175" s="62"/>
      <c r="B175" s="62" t="s">
        <v>270</v>
      </c>
      <c r="C175" s="22">
        <v>-65.663722000000007</v>
      </c>
      <c r="D175" s="22">
        <v>-26.987221999999999</v>
      </c>
      <c r="E175" s="74">
        <v>9034.2000000000007</v>
      </c>
      <c r="F175" s="74"/>
      <c r="G175" s="74"/>
      <c r="H175" s="74"/>
      <c r="I175" s="74"/>
      <c r="J175" s="74"/>
      <c r="K175" s="74"/>
      <c r="L175" s="74"/>
      <c r="M175" s="23" t="s">
        <v>271</v>
      </c>
      <c r="N175" s="24"/>
      <c r="O175" s="62">
        <v>3.5</v>
      </c>
      <c r="P175" s="62"/>
      <c r="Q175" s="62"/>
    </row>
    <row r="176" spans="1:17">
      <c r="A176" s="62"/>
      <c r="B176" s="62" t="s">
        <v>272</v>
      </c>
      <c r="C176" s="22">
        <v>-65.338306000000003</v>
      </c>
      <c r="D176" s="22">
        <v>-26.784444000000001</v>
      </c>
      <c r="E176" s="74">
        <v>3769.3</v>
      </c>
      <c r="F176" s="74"/>
      <c r="G176" s="74"/>
      <c r="H176" s="74"/>
      <c r="I176" s="74"/>
      <c r="J176" s="74"/>
      <c r="K176" s="74"/>
      <c r="L176" s="74"/>
      <c r="M176" s="23" t="s">
        <v>271</v>
      </c>
      <c r="N176" s="24"/>
      <c r="O176" s="62">
        <v>1.4</v>
      </c>
      <c r="P176" s="62"/>
      <c r="Q176" s="62"/>
    </row>
    <row r="177" spans="2:15">
      <c r="B177" s="62" t="s">
        <v>273</v>
      </c>
      <c r="C177" s="22">
        <v>-65.446556000000001</v>
      </c>
      <c r="D177" s="22">
        <v>-26.717749999999999</v>
      </c>
      <c r="E177" s="74">
        <v>13916.4</v>
      </c>
      <c r="F177" s="74"/>
      <c r="G177" s="74"/>
      <c r="H177" s="74"/>
      <c r="I177" s="74"/>
      <c r="J177" s="74"/>
      <c r="K177" s="74"/>
      <c r="L177" s="74"/>
      <c r="M177" s="23" t="s">
        <v>271</v>
      </c>
      <c r="N177" s="24"/>
      <c r="O177" s="62">
        <v>1.8</v>
      </c>
    </row>
    <row r="178" spans="2:15">
      <c r="B178" s="62" t="s">
        <v>274</v>
      </c>
      <c r="C178" s="75">
        <v>-47.8988333</v>
      </c>
      <c r="D178" s="75">
        <v>-22.194700000000001</v>
      </c>
      <c r="E178" s="74">
        <f>11.03*1000</f>
        <v>11030</v>
      </c>
      <c r="F178" s="74"/>
      <c r="G178" s="74">
        <v>180</v>
      </c>
      <c r="H178" s="74"/>
      <c r="I178" s="74">
        <v>4460</v>
      </c>
      <c r="J178" s="74"/>
      <c r="K178" s="74">
        <v>1020</v>
      </c>
      <c r="L178" s="74"/>
      <c r="M178" s="76" t="s">
        <v>275</v>
      </c>
      <c r="N178" s="24" t="s">
        <v>276</v>
      </c>
      <c r="O178" s="62">
        <v>0.84</v>
      </c>
    </row>
    <row r="179" spans="2:15">
      <c r="B179" s="62" t="s">
        <v>277</v>
      </c>
      <c r="C179" s="75">
        <v>-47.873633300000002</v>
      </c>
      <c r="D179" s="75">
        <v>-21.980516699999999</v>
      </c>
      <c r="E179" s="74">
        <v>13050</v>
      </c>
      <c r="F179" s="74"/>
      <c r="G179" s="74">
        <v>1350</v>
      </c>
      <c r="H179" s="74">
        <v>760</v>
      </c>
      <c r="I179" s="74">
        <v>3800</v>
      </c>
      <c r="J179" s="74"/>
      <c r="K179" s="74">
        <v>1470</v>
      </c>
      <c r="L179" s="74"/>
      <c r="M179" s="76" t="s">
        <v>275</v>
      </c>
      <c r="N179" s="24" t="s">
        <v>276</v>
      </c>
      <c r="O179" s="62">
        <v>0.56999999999999995</v>
      </c>
    </row>
    <row r="180" spans="2:15">
      <c r="B180" s="62" t="s">
        <v>278</v>
      </c>
      <c r="C180" s="75">
        <v>-47.842700000000001</v>
      </c>
      <c r="D180" s="75">
        <v>-21.966866700000001</v>
      </c>
      <c r="E180" s="74">
        <f>13.56*1000</f>
        <v>13560</v>
      </c>
      <c r="F180" s="74"/>
      <c r="G180" s="74">
        <v>280</v>
      </c>
      <c r="H180" s="74"/>
      <c r="I180" s="74">
        <v>3390</v>
      </c>
      <c r="J180" s="74"/>
      <c r="K180" s="74">
        <v>4180</v>
      </c>
      <c r="L180" s="74"/>
      <c r="M180" s="76" t="s">
        <v>275</v>
      </c>
      <c r="N180" s="24" t="s">
        <v>276</v>
      </c>
      <c r="O180" s="62">
        <v>1.1599999999999999</v>
      </c>
    </row>
    <row r="181" spans="2:15">
      <c r="B181" s="62" t="s">
        <v>279</v>
      </c>
      <c r="C181" s="75">
        <v>-46.881100000000004</v>
      </c>
      <c r="D181" s="75">
        <v>-20.131982000000001</v>
      </c>
      <c r="E181" s="74">
        <f>53.20532*1000</f>
        <v>53205.32</v>
      </c>
      <c r="F181" s="74"/>
      <c r="G181" s="74"/>
      <c r="H181" s="74"/>
      <c r="I181" s="74"/>
      <c r="J181" s="74"/>
      <c r="K181" s="74"/>
      <c r="L181" s="74"/>
      <c r="M181" s="62" t="s">
        <v>271</v>
      </c>
      <c r="N181" s="24" t="s">
        <v>280</v>
      </c>
      <c r="O181" s="62"/>
    </row>
    <row r="182" spans="2:15">
      <c r="B182" s="62" t="s">
        <v>281</v>
      </c>
      <c r="C182" s="75">
        <v>-46.881100000000004</v>
      </c>
      <c r="D182" s="75">
        <v>-20.131982000000001</v>
      </c>
      <c r="E182" s="74">
        <v>12884.55</v>
      </c>
      <c r="F182" s="74"/>
      <c r="G182" s="74"/>
      <c r="H182" s="74"/>
      <c r="I182" s="74"/>
      <c r="J182" s="74"/>
      <c r="K182" s="74"/>
      <c r="L182" s="74"/>
      <c r="M182" s="62" t="s">
        <v>271</v>
      </c>
      <c r="N182" s="24"/>
      <c r="O182" s="62"/>
    </row>
    <row r="183" spans="2:15">
      <c r="B183" s="62" t="s">
        <v>282</v>
      </c>
      <c r="C183" s="75">
        <v>-46.881100000000004</v>
      </c>
      <c r="D183" s="75">
        <v>-20.131982000000001</v>
      </c>
      <c r="E183" s="74">
        <v>30944.31</v>
      </c>
      <c r="F183" s="74"/>
      <c r="G183" s="74"/>
      <c r="H183" s="74"/>
      <c r="I183" s="74"/>
      <c r="J183" s="74"/>
      <c r="K183" s="74"/>
      <c r="L183" s="74"/>
      <c r="M183" s="62" t="s">
        <v>271</v>
      </c>
      <c r="N183" s="24"/>
      <c r="O183" s="62"/>
    </row>
    <row r="184" spans="2:15">
      <c r="B184" s="62" t="s">
        <v>283</v>
      </c>
      <c r="C184" s="75">
        <v>-46.881100000000004</v>
      </c>
      <c r="D184" s="75">
        <v>-20.131982000000001</v>
      </c>
      <c r="E184" s="74">
        <v>34797.919999999998</v>
      </c>
      <c r="F184" s="74"/>
      <c r="G184" s="74"/>
      <c r="H184" s="74"/>
      <c r="I184" s="74"/>
      <c r="J184" s="74"/>
      <c r="K184" s="74"/>
      <c r="L184" s="74"/>
      <c r="M184" s="62" t="s">
        <v>271</v>
      </c>
      <c r="N184" s="24"/>
      <c r="O184" s="62"/>
    </row>
    <row r="185" spans="2:15">
      <c r="B185" s="62" t="s">
        <v>284</v>
      </c>
      <c r="C185" s="75">
        <v>-46.881100000000004</v>
      </c>
      <c r="D185" s="75">
        <v>-20.131982000000001</v>
      </c>
      <c r="E185" s="74">
        <v>6951.5540000000001</v>
      </c>
      <c r="F185" s="74"/>
      <c r="G185" s="74"/>
      <c r="H185" s="74"/>
      <c r="I185" s="74"/>
      <c r="J185" s="74"/>
      <c r="K185" s="74"/>
      <c r="L185" s="74"/>
      <c r="M185" s="62" t="s">
        <v>271</v>
      </c>
      <c r="N185" s="24"/>
      <c r="O185" s="62"/>
    </row>
    <row r="186" spans="2:15">
      <c r="B186" s="62" t="s">
        <v>285</v>
      </c>
      <c r="C186" s="75">
        <v>-46.881100000000004</v>
      </c>
      <c r="D186" s="75">
        <v>-20.131982000000001</v>
      </c>
      <c r="E186" s="74">
        <v>8250.4750000000004</v>
      </c>
      <c r="F186" s="74"/>
      <c r="G186" s="74"/>
      <c r="H186" s="74"/>
      <c r="I186" s="74"/>
      <c r="J186" s="74"/>
      <c r="K186" s="74"/>
      <c r="L186" s="74"/>
      <c r="M186" s="62" t="s">
        <v>271</v>
      </c>
      <c r="N186" s="24"/>
      <c r="O186" s="62"/>
    </row>
    <row r="187" spans="2:15">
      <c r="B187" s="62" t="s">
        <v>286</v>
      </c>
      <c r="C187" s="75">
        <v>-46.881100000000004</v>
      </c>
      <c r="D187" s="75">
        <v>-20.131982000000001</v>
      </c>
      <c r="E187" s="74">
        <v>8928.9549999999999</v>
      </c>
      <c r="F187" s="74"/>
      <c r="G187" s="74"/>
      <c r="H187" s="74"/>
      <c r="I187" s="74"/>
      <c r="J187" s="74"/>
      <c r="K187" s="74"/>
      <c r="L187" s="74"/>
      <c r="M187" s="62" t="s">
        <v>271</v>
      </c>
      <c r="N187" s="24"/>
      <c r="O187" s="62"/>
    </row>
    <row r="188" spans="2:15">
      <c r="B188" s="62" t="s">
        <v>287</v>
      </c>
      <c r="C188" s="75">
        <v>-46.881100000000004</v>
      </c>
      <c r="D188" s="75">
        <v>-20.131982000000001</v>
      </c>
      <c r="E188" s="74">
        <v>1826.057</v>
      </c>
      <c r="F188" s="74"/>
      <c r="G188" s="74"/>
      <c r="H188" s="74"/>
      <c r="I188" s="74"/>
      <c r="J188" s="74"/>
      <c r="K188" s="74"/>
      <c r="L188" s="74"/>
      <c r="M188" s="62" t="s">
        <v>271</v>
      </c>
      <c r="N188" s="24"/>
      <c r="O188" s="62"/>
    </row>
    <row r="189" spans="2:15">
      <c r="B189" s="62" t="s">
        <v>288</v>
      </c>
      <c r="C189" s="22">
        <v>46.633333</v>
      </c>
      <c r="D189" s="22">
        <v>10.183332999999999</v>
      </c>
      <c r="E189" s="74">
        <f>SUM(F189,H189:M189)</f>
        <v>7770.7000840000001</v>
      </c>
      <c r="F189" s="74">
        <f>SUM(G189:K189)</f>
        <v>4538.850042</v>
      </c>
      <c r="G189" s="74">
        <v>1307</v>
      </c>
      <c r="H189" s="74">
        <v>897</v>
      </c>
      <c r="I189" s="74">
        <v>347</v>
      </c>
      <c r="J189" s="74">
        <v>1845.850042</v>
      </c>
      <c r="K189" s="74">
        <v>142</v>
      </c>
      <c r="L189" s="74"/>
      <c r="M189" s="62" t="s">
        <v>271</v>
      </c>
      <c r="N189" s="24" t="s">
        <v>289</v>
      </c>
      <c r="O189" s="62" t="s">
        <v>290</v>
      </c>
    </row>
    <row r="190" spans="2:15">
      <c r="B190" s="46" t="s">
        <v>291</v>
      </c>
      <c r="C190" s="22">
        <v>-65.75</v>
      </c>
      <c r="D190" s="22">
        <v>18.316666999999999</v>
      </c>
      <c r="E190" s="74"/>
      <c r="F190" s="77">
        <v>591.5</v>
      </c>
      <c r="G190" s="74">
        <f>34.97+352.22</f>
        <v>387.19000000000005</v>
      </c>
      <c r="H190" s="74"/>
      <c r="I190" s="74">
        <f>87.87 + 33.88</f>
        <v>121.75</v>
      </c>
      <c r="J190" s="74">
        <f>18.86+8.03+55.67</f>
        <v>82.56</v>
      </c>
      <c r="K190" s="47"/>
      <c r="L190" s="47"/>
      <c r="M190" s="26" t="s">
        <v>271</v>
      </c>
      <c r="N190" s="27" t="s">
        <v>292</v>
      </c>
      <c r="O190" s="25"/>
    </row>
    <row r="191" spans="2:15">
      <c r="B191" s="46" t="s">
        <v>293</v>
      </c>
      <c r="C191" s="22">
        <v>-65.75</v>
      </c>
      <c r="D191" s="22">
        <v>18.316666999999999</v>
      </c>
      <c r="E191" s="74"/>
      <c r="F191" s="77">
        <v>528.54</v>
      </c>
      <c r="G191" s="74">
        <f>16.53 +259.14</f>
        <v>275.66999999999996</v>
      </c>
      <c r="H191" s="74"/>
      <c r="I191" s="74">
        <f>135.04 +56.94</f>
        <v>191.98</v>
      </c>
      <c r="J191" s="74">
        <f>18.86+6.7+35.33</f>
        <v>60.89</v>
      </c>
      <c r="K191" s="47"/>
      <c r="L191" s="47"/>
      <c r="M191" s="26" t="s">
        <v>271</v>
      </c>
      <c r="N191" s="27"/>
      <c r="O191" s="25"/>
    </row>
    <row r="192" spans="2:15">
      <c r="B192" s="62" t="s">
        <v>294</v>
      </c>
      <c r="C192" s="22" t="s">
        <v>295</v>
      </c>
      <c r="D192" s="22">
        <v>40.206879999999998</v>
      </c>
      <c r="E192" s="74">
        <v>4424.5</v>
      </c>
      <c r="F192" s="74">
        <f>SUM(G192:K192)</f>
        <v>3973.6000000000004</v>
      </c>
      <c r="G192" s="74">
        <v>370.91</v>
      </c>
      <c r="H192" s="74">
        <v>1189.72</v>
      </c>
      <c r="I192" s="74">
        <v>409.01</v>
      </c>
      <c r="J192" s="74">
        <v>1495.68</v>
      </c>
      <c r="K192" s="74">
        <v>508.28</v>
      </c>
      <c r="L192" s="74"/>
      <c r="M192" s="23" t="s">
        <v>271</v>
      </c>
      <c r="N192" s="24" t="s">
        <v>296</v>
      </c>
      <c r="O192" s="62">
        <v>3</v>
      </c>
    </row>
    <row r="193" spans="2:15">
      <c r="B193" s="62" t="s">
        <v>297</v>
      </c>
      <c r="C193" s="22" t="s">
        <v>298</v>
      </c>
      <c r="D193" s="22">
        <v>40.208500000000001</v>
      </c>
      <c r="E193" s="74">
        <v>1264.97</v>
      </c>
      <c r="F193" s="74">
        <f>SUM(G193:K193)</f>
        <v>1216.8799999999999</v>
      </c>
      <c r="G193" s="74">
        <v>300.39</v>
      </c>
      <c r="H193" s="74">
        <v>263.24</v>
      </c>
      <c r="I193" s="74">
        <v>397.39</v>
      </c>
      <c r="J193" s="74">
        <v>156.84</v>
      </c>
      <c r="K193" s="74">
        <v>99.02</v>
      </c>
      <c r="L193" s="74"/>
      <c r="M193" s="23" t="s">
        <v>271</v>
      </c>
      <c r="N193" s="24" t="s">
        <v>299</v>
      </c>
      <c r="O193" s="62">
        <v>6</v>
      </c>
    </row>
    <row r="194" spans="2:15">
      <c r="B194" s="62" t="s">
        <v>300</v>
      </c>
      <c r="C194" s="22" t="s">
        <v>301</v>
      </c>
      <c r="D194" s="22">
        <v>40.210059999999999</v>
      </c>
      <c r="E194" s="74">
        <v>4632.3599999999997</v>
      </c>
      <c r="F194" s="74">
        <f>SUM(G194:K194)</f>
        <v>4093.0899999999997</v>
      </c>
      <c r="G194" s="74">
        <v>570.70000000000005</v>
      </c>
      <c r="H194" s="74">
        <v>899.42</v>
      </c>
      <c r="I194" s="74">
        <v>180.26</v>
      </c>
      <c r="J194" s="74">
        <v>1646.98</v>
      </c>
      <c r="K194" s="74">
        <v>795.73</v>
      </c>
      <c r="L194" s="74"/>
      <c r="M194" s="23" t="s">
        <v>271</v>
      </c>
      <c r="N194" s="24" t="s">
        <v>302</v>
      </c>
      <c r="O194" s="62">
        <v>4</v>
      </c>
    </row>
    <row r="195" spans="2:15">
      <c r="B195" s="62" t="s">
        <v>303</v>
      </c>
      <c r="C195" s="22" t="s">
        <v>304</v>
      </c>
      <c r="D195" s="22">
        <v>40.315629999999999</v>
      </c>
      <c r="E195" s="74">
        <v>4243.04</v>
      </c>
      <c r="F195" s="74">
        <f>SUM(G195:K195)</f>
        <v>3915.1</v>
      </c>
      <c r="G195" s="74">
        <v>348.68</v>
      </c>
      <c r="H195" s="74">
        <v>1414.29</v>
      </c>
      <c r="I195" s="74">
        <v>551.97</v>
      </c>
      <c r="J195" s="74">
        <v>742.79</v>
      </c>
      <c r="K195" s="74">
        <v>857.37</v>
      </c>
      <c r="L195" s="74"/>
      <c r="M195" s="23" t="s">
        <v>271</v>
      </c>
      <c r="N195" s="24" t="s">
        <v>305</v>
      </c>
      <c r="O195" s="62">
        <v>7</v>
      </c>
    </row>
    <row r="196" spans="2:15">
      <c r="B196" s="62" t="s">
        <v>306</v>
      </c>
      <c r="C196" s="22" t="s">
        <v>307</v>
      </c>
      <c r="D196" s="22">
        <v>40.606990000000003</v>
      </c>
      <c r="E196" s="74">
        <v>4426.91</v>
      </c>
      <c r="F196" s="74">
        <f>SUM(G196:K196)</f>
        <v>4004.7799999999997</v>
      </c>
      <c r="G196" s="74">
        <v>298.8</v>
      </c>
      <c r="H196" s="74">
        <v>346.08</v>
      </c>
      <c r="I196" s="74">
        <v>464.06</v>
      </c>
      <c r="J196" s="74">
        <v>1848.83</v>
      </c>
      <c r="K196" s="74">
        <v>1047.01</v>
      </c>
      <c r="L196" s="74"/>
      <c r="M196" s="23" t="s">
        <v>271</v>
      </c>
      <c r="N196" s="24" t="s">
        <v>305</v>
      </c>
      <c r="O196" s="62">
        <v>10</v>
      </c>
    </row>
    <row r="197" spans="2:15">
      <c r="B197" s="62" t="s">
        <v>308</v>
      </c>
      <c r="C197" s="22">
        <v>-109.032842</v>
      </c>
      <c r="D197" s="28">
        <v>40.828567999999997</v>
      </c>
      <c r="E197" s="74">
        <v>8908.02</v>
      </c>
      <c r="F197" s="74">
        <f t="shared" ref="F197:F203" si="0">SUM(G197:K197)</f>
        <v>6808.83</v>
      </c>
      <c r="G197" s="74">
        <v>896.22</v>
      </c>
      <c r="H197" s="74"/>
      <c r="I197" s="74">
        <v>41.53</v>
      </c>
      <c r="J197" s="74">
        <v>2904.14</v>
      </c>
      <c r="K197" s="74">
        <f>2582.94+69+315</f>
        <v>2966.94</v>
      </c>
      <c r="L197" s="74"/>
      <c r="M197" s="23" t="s">
        <v>271</v>
      </c>
      <c r="N197" s="24" t="s">
        <v>309</v>
      </c>
      <c r="O197" s="62">
        <v>50</v>
      </c>
    </row>
    <row r="198" spans="2:15">
      <c r="B198" s="62" t="s">
        <v>310</v>
      </c>
      <c r="C198" s="22">
        <v>-109.14099899999999</v>
      </c>
      <c r="D198" s="28">
        <v>40.864840000000001</v>
      </c>
      <c r="E198" s="74">
        <v>49931.26</v>
      </c>
      <c r="F198" s="74">
        <f t="shared" si="0"/>
        <v>40886.51</v>
      </c>
      <c r="G198" s="74">
        <v>6714.07</v>
      </c>
      <c r="H198" s="74">
        <v>7841.65</v>
      </c>
      <c r="I198" s="74">
        <v>5855.45</v>
      </c>
      <c r="J198" s="74">
        <v>10029.65</v>
      </c>
      <c r="K198" s="74">
        <f>10436.15+5.54+4</f>
        <v>10445.69</v>
      </c>
      <c r="L198" s="74"/>
      <c r="M198" s="23" t="s">
        <v>271</v>
      </c>
      <c r="N198" s="24" t="s">
        <v>309</v>
      </c>
      <c r="O198" s="62">
        <v>50</v>
      </c>
    </row>
    <row r="199" spans="2:15">
      <c r="B199" s="62" t="s">
        <v>311</v>
      </c>
      <c r="C199" s="22">
        <v>-109.17068999999999</v>
      </c>
      <c r="D199" s="28">
        <v>40.899740000000001</v>
      </c>
      <c r="E199" s="74">
        <v>50200.060000000005</v>
      </c>
      <c r="F199" s="74">
        <f t="shared" si="0"/>
        <v>43635.5</v>
      </c>
      <c r="G199" s="74">
        <v>9213.76</v>
      </c>
      <c r="H199" s="74">
        <v>6200</v>
      </c>
      <c r="I199" s="74">
        <v>5756.47</v>
      </c>
      <c r="J199" s="74">
        <v>18282.509999999998</v>
      </c>
      <c r="K199" s="74">
        <f>3429.76+753</f>
        <v>4182.76</v>
      </c>
      <c r="L199" s="74"/>
      <c r="M199" s="23" t="s">
        <v>271</v>
      </c>
      <c r="N199" s="24" t="s">
        <v>309</v>
      </c>
      <c r="O199" s="62">
        <v>45</v>
      </c>
    </row>
    <row r="200" spans="2:15">
      <c r="B200" s="62" t="s">
        <v>312</v>
      </c>
      <c r="C200" s="22">
        <v>-109.370054</v>
      </c>
      <c r="D200" s="28">
        <v>40.902481999999999</v>
      </c>
      <c r="E200" s="74">
        <v>46606.979999999996</v>
      </c>
      <c r="F200" s="74">
        <f t="shared" si="0"/>
        <v>26773.89</v>
      </c>
      <c r="G200" s="74">
        <v>11779.89</v>
      </c>
      <c r="H200" s="74">
        <v>790.89</v>
      </c>
      <c r="I200" s="74">
        <v>2665.72</v>
      </c>
      <c r="J200" s="29">
        <v>7059.71</v>
      </c>
      <c r="K200" s="74">
        <v>4477.68</v>
      </c>
      <c r="L200" s="74"/>
      <c r="M200" s="23" t="s">
        <v>271</v>
      </c>
      <c r="N200" s="24" t="s">
        <v>309</v>
      </c>
      <c r="O200" s="62">
        <v>30</v>
      </c>
    </row>
    <row r="201" spans="2:15">
      <c r="B201" s="62" t="s">
        <v>313</v>
      </c>
      <c r="C201" s="22">
        <v>-109.414873</v>
      </c>
      <c r="D201" s="28">
        <v>40.907224999999997</v>
      </c>
      <c r="E201" s="74">
        <v>86709.32</v>
      </c>
      <c r="F201" s="74">
        <f t="shared" si="0"/>
        <v>17381.480000000003</v>
      </c>
      <c r="G201" s="74">
        <v>270.82</v>
      </c>
      <c r="H201" s="74"/>
      <c r="I201" s="74">
        <v>48.96</v>
      </c>
      <c r="J201" s="29">
        <v>14222.2</v>
      </c>
      <c r="K201" s="74">
        <v>2839.5</v>
      </c>
      <c r="L201" s="74"/>
      <c r="M201" s="23" t="s">
        <v>271</v>
      </c>
      <c r="N201" s="24" t="s">
        <v>309</v>
      </c>
      <c r="O201" s="62">
        <v>30</v>
      </c>
    </row>
    <row r="202" spans="2:15">
      <c r="B202" s="62" t="s">
        <v>314</v>
      </c>
      <c r="C202" s="22">
        <v>-109.328782</v>
      </c>
      <c r="D202" s="28">
        <v>40.911169999999998</v>
      </c>
      <c r="E202" s="74">
        <v>29673.609999999997</v>
      </c>
      <c r="F202" s="74">
        <f t="shared" si="0"/>
        <v>15211.960000000001</v>
      </c>
      <c r="G202" s="74">
        <v>4405.24</v>
      </c>
      <c r="H202" s="74">
        <v>1021</v>
      </c>
      <c r="I202" s="74">
        <v>1123</v>
      </c>
      <c r="J202" s="74">
        <v>5571.37</v>
      </c>
      <c r="K202" s="74">
        <v>3091.35</v>
      </c>
      <c r="L202" s="74"/>
      <c r="M202" s="23" t="s">
        <v>271</v>
      </c>
      <c r="N202" s="24" t="s">
        <v>309</v>
      </c>
      <c r="O202" s="62">
        <v>30</v>
      </c>
    </row>
    <row r="203" spans="2:15">
      <c r="B203" s="62" t="s">
        <v>315</v>
      </c>
      <c r="C203" s="22">
        <v>-109.272513</v>
      </c>
      <c r="D203" s="28">
        <v>40.911535000000001</v>
      </c>
      <c r="E203" s="74">
        <v>55477.45</v>
      </c>
      <c r="F203" s="74">
        <f t="shared" si="0"/>
        <v>32560.329999999998</v>
      </c>
      <c r="G203" s="74">
        <v>11709.75</v>
      </c>
      <c r="H203" s="74">
        <v>5879.17</v>
      </c>
      <c r="I203" s="74">
        <v>1318.87</v>
      </c>
      <c r="J203" s="74">
        <v>6358.67</v>
      </c>
      <c r="K203" s="74">
        <f>7287.7+6.17</f>
        <v>7293.87</v>
      </c>
      <c r="L203" s="74"/>
      <c r="M203" s="23" t="s">
        <v>271</v>
      </c>
      <c r="N203" s="24"/>
      <c r="O203" s="62">
        <v>35</v>
      </c>
    </row>
    <row r="204" spans="2:15">
      <c r="B204" s="62" t="s">
        <v>316</v>
      </c>
      <c r="C204" s="22">
        <v>15.016667</v>
      </c>
      <c r="D204" s="22">
        <v>47.983333000000002</v>
      </c>
      <c r="E204" s="74">
        <v>85601.700000000012</v>
      </c>
      <c r="F204" s="74">
        <f>SUM(G204:K204)</f>
        <v>64068.6</v>
      </c>
      <c r="G204" s="74">
        <v>19881</v>
      </c>
      <c r="H204" s="74">
        <v>5307.1</v>
      </c>
      <c r="I204" s="74">
        <v>4171.8999999999996</v>
      </c>
      <c r="J204" s="74">
        <v>26612.5</v>
      </c>
      <c r="K204" s="74">
        <v>8096.1</v>
      </c>
      <c r="L204" s="74"/>
      <c r="M204" s="23" t="s">
        <v>271</v>
      </c>
      <c r="N204" s="24" t="s">
        <v>317</v>
      </c>
      <c r="O204" s="62">
        <v>6.4</v>
      </c>
    </row>
    <row r="205" spans="2:15">
      <c r="B205" s="62" t="s">
        <v>318</v>
      </c>
      <c r="C205" s="22">
        <v>16.016667000000002</v>
      </c>
      <c r="D205" s="22">
        <v>48.983333000000002</v>
      </c>
      <c r="E205" s="74">
        <v>47862.2</v>
      </c>
      <c r="F205" s="74">
        <f>SUM(G205:K205)</f>
        <v>40358.100000000006</v>
      </c>
      <c r="G205" s="74">
        <v>11615.2</v>
      </c>
      <c r="H205" s="74">
        <v>2643.6</v>
      </c>
      <c r="I205" s="74">
        <v>2807.5</v>
      </c>
      <c r="J205" s="74">
        <v>11880.3</v>
      </c>
      <c r="K205" s="74">
        <v>11411.5</v>
      </c>
      <c r="L205" s="74"/>
      <c r="M205" s="23" t="s">
        <v>271</v>
      </c>
      <c r="N205" s="24" t="s">
        <v>319</v>
      </c>
      <c r="O205" s="62">
        <v>5.9</v>
      </c>
    </row>
    <row r="206" spans="2:15">
      <c r="B206" s="62" t="s">
        <v>320</v>
      </c>
      <c r="C206" s="30">
        <v>19.583027999999999</v>
      </c>
      <c r="D206" s="31">
        <v>49.005333</v>
      </c>
      <c r="E206" s="74">
        <v>25799.339999999997</v>
      </c>
      <c r="F206" s="74"/>
      <c r="G206" s="74">
        <v>1971.51</v>
      </c>
      <c r="H206" s="74">
        <v>522.21</v>
      </c>
      <c r="I206" s="74">
        <v>841.82</v>
      </c>
      <c r="J206" s="74"/>
      <c r="K206" s="74"/>
      <c r="L206" s="74"/>
      <c r="M206" s="23" t="s">
        <v>271</v>
      </c>
      <c r="N206" s="24" t="s">
        <v>321</v>
      </c>
      <c r="O206" s="62">
        <v>2.5</v>
      </c>
    </row>
    <row r="207" spans="2:15">
      <c r="B207" s="62" t="s">
        <v>322</v>
      </c>
      <c r="C207" s="22">
        <v>46.783332999999999</v>
      </c>
      <c r="D207" s="22">
        <v>49.116667</v>
      </c>
      <c r="E207" s="74">
        <v>22538</v>
      </c>
      <c r="F207" s="74"/>
      <c r="G207" s="74"/>
      <c r="H207" s="74"/>
      <c r="I207" s="74"/>
      <c r="J207" s="74">
        <v>3234.0000000000005</v>
      </c>
      <c r="K207" s="74">
        <v>2381</v>
      </c>
      <c r="L207" s="74"/>
      <c r="M207" s="23" t="s">
        <v>271</v>
      </c>
      <c r="N207" s="24" t="s">
        <v>323</v>
      </c>
      <c r="O207" s="62" t="s">
        <v>324</v>
      </c>
    </row>
    <row r="208" spans="2:15">
      <c r="B208" s="62" t="s">
        <v>325</v>
      </c>
      <c r="C208" s="22">
        <v>47.783332999999999</v>
      </c>
      <c r="D208" s="22">
        <v>50.116667</v>
      </c>
      <c r="E208" s="74">
        <v>116665.00000000001</v>
      </c>
      <c r="F208" s="74"/>
      <c r="G208" s="74"/>
      <c r="H208" s="74"/>
      <c r="I208" s="74"/>
      <c r="J208" s="74">
        <v>108154.00000000001</v>
      </c>
      <c r="K208" s="74">
        <v>8505</v>
      </c>
      <c r="L208" s="74"/>
      <c r="M208" s="23" t="s">
        <v>271</v>
      </c>
      <c r="N208" s="24" t="s">
        <v>323</v>
      </c>
      <c r="O208" s="62" t="s">
        <v>326</v>
      </c>
    </row>
    <row r="209" spans="2:17">
      <c r="B209" s="32" t="s">
        <v>327</v>
      </c>
      <c r="C209" s="33">
        <v>11.286528000000001</v>
      </c>
      <c r="D209" s="33">
        <v>51.720908000000001</v>
      </c>
      <c r="E209" s="34">
        <f>77.7*1000</f>
        <v>77700</v>
      </c>
      <c r="F209" s="78"/>
      <c r="G209" s="79"/>
      <c r="H209" s="79"/>
      <c r="I209" s="79"/>
      <c r="J209" s="79"/>
      <c r="K209" s="79"/>
      <c r="L209" s="78"/>
      <c r="M209" s="23" t="s">
        <v>328</v>
      </c>
      <c r="N209" s="24" t="s">
        <v>329</v>
      </c>
      <c r="O209" s="62">
        <v>1</v>
      </c>
      <c r="P209" s="62"/>
      <c r="Q209" s="62"/>
    </row>
    <row r="210" spans="2:17">
      <c r="B210" s="32" t="s">
        <v>330</v>
      </c>
      <c r="C210" s="33">
        <v>10.663493000000001</v>
      </c>
      <c r="D210" s="33">
        <v>51.734662</v>
      </c>
      <c r="E210" s="34">
        <v>26800</v>
      </c>
      <c r="F210" s="78"/>
      <c r="G210" s="79"/>
      <c r="H210" s="79"/>
      <c r="I210" s="79"/>
      <c r="J210" s="79"/>
      <c r="K210" s="79"/>
      <c r="L210" s="78"/>
      <c r="M210" s="23" t="s">
        <v>328</v>
      </c>
      <c r="N210" s="24" t="s">
        <v>331</v>
      </c>
      <c r="O210" s="62">
        <v>1</v>
      </c>
      <c r="P210" s="62"/>
      <c r="Q210" s="62"/>
    </row>
    <row r="211" spans="2:17">
      <c r="B211" s="62" t="s">
        <v>332</v>
      </c>
      <c r="C211" s="33">
        <v>11.297438</v>
      </c>
      <c r="D211" s="33">
        <v>51.757162999999998</v>
      </c>
      <c r="E211" s="34">
        <v>36000</v>
      </c>
      <c r="F211" s="78"/>
      <c r="G211" s="79"/>
      <c r="H211" s="79"/>
      <c r="I211" s="79"/>
      <c r="J211" s="79"/>
      <c r="K211" s="79"/>
      <c r="L211" s="78"/>
      <c r="M211" s="23" t="s">
        <v>328</v>
      </c>
      <c r="N211" s="24" t="s">
        <v>329</v>
      </c>
      <c r="O211" s="62">
        <v>1.2</v>
      </c>
      <c r="P211" s="62"/>
      <c r="Q211" s="62"/>
    </row>
    <row r="212" spans="2:17">
      <c r="B212" s="32" t="s">
        <v>333</v>
      </c>
      <c r="C212" s="33">
        <v>10.715571000000001</v>
      </c>
      <c r="D212" s="33">
        <v>51.773747999999998</v>
      </c>
      <c r="E212" s="35">
        <v>15400</v>
      </c>
      <c r="F212" s="78"/>
      <c r="G212" s="79"/>
      <c r="H212" s="79"/>
      <c r="I212" s="79"/>
      <c r="J212" s="79"/>
      <c r="K212" s="79"/>
      <c r="L212" s="78"/>
      <c r="M212" s="23" t="s">
        <v>328</v>
      </c>
      <c r="N212" s="24" t="s">
        <v>331</v>
      </c>
      <c r="O212" s="62">
        <v>1.5</v>
      </c>
      <c r="P212" s="62"/>
      <c r="Q212" s="62"/>
    </row>
    <row r="213" spans="2:17">
      <c r="B213" s="67" t="s">
        <v>334</v>
      </c>
      <c r="C213" s="22">
        <v>10.730833000000001</v>
      </c>
      <c r="D213" s="22">
        <v>51.805833</v>
      </c>
      <c r="E213" s="74">
        <v>12017</v>
      </c>
      <c r="F213" s="74">
        <f>SUM(G213:K213)</f>
        <v>12017</v>
      </c>
      <c r="G213" s="74">
        <v>475</v>
      </c>
      <c r="H213" s="74">
        <v>423</v>
      </c>
      <c r="I213" s="74">
        <v>1071</v>
      </c>
      <c r="J213" s="74">
        <v>9622</v>
      </c>
      <c r="K213" s="74">
        <f>240+186</f>
        <v>426</v>
      </c>
      <c r="L213" s="74"/>
      <c r="M213" s="23" t="s">
        <v>271</v>
      </c>
      <c r="N213" s="24" t="s">
        <v>335</v>
      </c>
      <c r="O213" s="62"/>
      <c r="P213" s="62"/>
      <c r="Q213" s="62"/>
    </row>
    <row r="214" spans="2:17">
      <c r="B214" s="62" t="s">
        <v>336</v>
      </c>
      <c r="C214" s="22" t="s">
        <v>337</v>
      </c>
      <c r="D214" s="22">
        <v>52.473636999999997</v>
      </c>
      <c r="E214" s="74">
        <v>11234.800000000003</v>
      </c>
      <c r="F214" s="74">
        <f>SUM(G214:K214)</f>
        <v>3574.8999999999996</v>
      </c>
      <c r="G214" s="61">
        <v>2315</v>
      </c>
      <c r="H214" s="61"/>
      <c r="I214" s="61"/>
      <c r="J214" s="74">
        <v>386.7</v>
      </c>
      <c r="K214" s="74">
        <v>873.2</v>
      </c>
      <c r="L214" s="74"/>
      <c r="M214" s="23" t="s">
        <v>271</v>
      </c>
      <c r="N214" s="24" t="s">
        <v>338</v>
      </c>
      <c r="O214" s="62" t="s">
        <v>339</v>
      </c>
      <c r="P214" s="62"/>
      <c r="Q214" s="62"/>
    </row>
    <row r="215" spans="2:17">
      <c r="B215" s="62" t="s">
        <v>340</v>
      </c>
      <c r="C215" s="22" t="s">
        <v>337</v>
      </c>
      <c r="D215" s="22">
        <v>52.473636999999997</v>
      </c>
      <c r="E215" s="74">
        <v>11562.1</v>
      </c>
      <c r="F215" s="74">
        <f t="shared" ref="F215:F220" si="1">SUM(G215:K215)</f>
        <v>4155.2000000000007</v>
      </c>
      <c r="G215" s="61">
        <v>2653</v>
      </c>
      <c r="H215" s="61"/>
      <c r="I215" s="61"/>
      <c r="J215" s="74">
        <v>418.8</v>
      </c>
      <c r="K215" s="74">
        <v>1083.4000000000001</v>
      </c>
      <c r="L215" s="74"/>
      <c r="M215" s="23" t="s">
        <v>271</v>
      </c>
      <c r="N215" s="24" t="s">
        <v>338</v>
      </c>
      <c r="O215" s="62" t="s">
        <v>339</v>
      </c>
      <c r="P215" s="62"/>
      <c r="Q215" s="62"/>
    </row>
    <row r="216" spans="2:17">
      <c r="B216" s="62" t="s">
        <v>341</v>
      </c>
      <c r="C216" s="22" t="s">
        <v>342</v>
      </c>
      <c r="D216" s="22">
        <v>52.476864999999997</v>
      </c>
      <c r="E216" s="74">
        <v>3452.3999999999996</v>
      </c>
      <c r="F216" s="74">
        <f t="shared" si="1"/>
        <v>811.00000000000011</v>
      </c>
      <c r="G216" s="61">
        <v>55.6</v>
      </c>
      <c r="H216" s="61"/>
      <c r="I216" s="61"/>
      <c r="J216" s="74">
        <v>728.7</v>
      </c>
      <c r="K216" s="74">
        <v>26.7</v>
      </c>
      <c r="L216" s="74"/>
      <c r="M216" s="23" t="s">
        <v>271</v>
      </c>
      <c r="N216" s="24" t="s">
        <v>338</v>
      </c>
      <c r="O216" s="62"/>
      <c r="P216" s="62"/>
      <c r="Q216" s="62"/>
    </row>
    <row r="217" spans="2:17">
      <c r="B217" s="62" t="s">
        <v>343</v>
      </c>
      <c r="C217" s="22" t="s">
        <v>342</v>
      </c>
      <c r="D217" s="22">
        <v>52.476864999999997</v>
      </c>
      <c r="E217" s="74">
        <v>3056.3</v>
      </c>
      <c r="F217" s="74">
        <f t="shared" si="1"/>
        <v>846.4</v>
      </c>
      <c r="G217" s="61">
        <v>76.099999999999994</v>
      </c>
      <c r="H217" s="61"/>
      <c r="I217" s="61"/>
      <c r="J217" s="74">
        <v>748.3</v>
      </c>
      <c r="K217" s="74">
        <v>22</v>
      </c>
      <c r="L217" s="74"/>
      <c r="M217" s="23" t="s">
        <v>271</v>
      </c>
      <c r="N217" s="24" t="s">
        <v>338</v>
      </c>
      <c r="O217" s="62"/>
      <c r="P217" s="62"/>
      <c r="Q217" s="62"/>
    </row>
    <row r="218" spans="2:17">
      <c r="B218" s="62" t="s">
        <v>344</v>
      </c>
      <c r="C218" s="22">
        <v>-149.4</v>
      </c>
      <c r="D218" s="22">
        <v>68.459999999999994</v>
      </c>
      <c r="E218" s="74">
        <v>5453.3</v>
      </c>
      <c r="F218" s="74">
        <f t="shared" si="1"/>
        <v>5453.3</v>
      </c>
      <c r="G218" s="74">
        <v>1931</v>
      </c>
      <c r="H218" s="74">
        <v>51.3</v>
      </c>
      <c r="I218" s="74">
        <v>205</v>
      </c>
      <c r="J218" s="74">
        <v>503</v>
      </c>
      <c r="K218" s="74">
        <f>2507+113+143</f>
        <v>2763</v>
      </c>
      <c r="L218" s="74"/>
      <c r="M218" s="23" t="s">
        <v>271</v>
      </c>
      <c r="N218" s="24" t="s">
        <v>345</v>
      </c>
      <c r="O218" s="62" t="s">
        <v>346</v>
      </c>
      <c r="P218" s="62"/>
      <c r="Q218" s="62"/>
    </row>
    <row r="219" spans="2:17">
      <c r="B219" s="62" t="s">
        <v>347</v>
      </c>
      <c r="C219" s="22">
        <v>9.4535210000000003</v>
      </c>
      <c r="D219" s="22">
        <v>45.952368999999997</v>
      </c>
      <c r="E219" s="74">
        <v>1854</v>
      </c>
      <c r="F219" s="74">
        <f t="shared" si="1"/>
        <v>1854</v>
      </c>
      <c r="G219" s="74">
        <v>1057</v>
      </c>
      <c r="H219" s="74">
        <v>442</v>
      </c>
      <c r="I219" s="74">
        <v>98</v>
      </c>
      <c r="J219" s="74"/>
      <c r="K219" s="74">
        <v>257</v>
      </c>
      <c r="L219" s="74"/>
      <c r="M219" s="23" t="s">
        <v>271</v>
      </c>
      <c r="N219" s="24" t="s">
        <v>348</v>
      </c>
      <c r="O219" s="62">
        <v>4</v>
      </c>
      <c r="P219" s="62"/>
      <c r="Q219" s="62"/>
    </row>
    <row r="220" spans="2:17" s="14" customFormat="1">
      <c r="B220" s="65" t="s">
        <v>349</v>
      </c>
      <c r="C220" s="36">
        <v>114.17941500000001</v>
      </c>
      <c r="D220" s="36">
        <v>22.422581999999998</v>
      </c>
      <c r="E220" s="74"/>
      <c r="F220" s="80">
        <v>6468.1</v>
      </c>
      <c r="G220" s="80"/>
      <c r="H220" s="80"/>
      <c r="I220" s="80"/>
      <c r="J220" s="80"/>
      <c r="K220" s="80"/>
      <c r="L220" s="80"/>
      <c r="M220" s="37" t="s">
        <v>271</v>
      </c>
      <c r="N220" s="37" t="s">
        <v>350</v>
      </c>
      <c r="O220" s="65" t="s">
        <v>351</v>
      </c>
      <c r="P220" s="65"/>
      <c r="Q220" s="65"/>
    </row>
    <row r="221" spans="2:17" ht="15" customHeight="1">
      <c r="B221" s="62" t="s">
        <v>352</v>
      </c>
      <c r="C221" s="10">
        <v>-21.09599</v>
      </c>
      <c r="D221" s="10">
        <v>-44.158369999999998</v>
      </c>
      <c r="E221" s="74">
        <f>AVERAGE(15361,10471,15809)</f>
        <v>13880.333333333334</v>
      </c>
      <c r="F221" s="62">
        <f>SUM(G221:K221)</f>
        <v>12405.247462971336</v>
      </c>
      <c r="G221" s="62">
        <f>E221*0.09015438</f>
        <v>1251.3728458600001</v>
      </c>
      <c r="H221" s="62">
        <f>E221*0.040888546</f>
        <v>567.54664799533327</v>
      </c>
      <c r="I221" s="62">
        <f>E221*0.590141802</f>
        <v>8191.3649256940007</v>
      </c>
      <c r="J221" s="10">
        <f>E221*0.018456868</f>
        <v>256.18748012933338</v>
      </c>
      <c r="K221" s="62">
        <f>E221*0.154086758</f>
        <v>2138.7755632926664</v>
      </c>
      <c r="L221" s="62"/>
      <c r="M221" s="62" t="s">
        <v>271</v>
      </c>
      <c r="N221" s="62" t="s">
        <v>353</v>
      </c>
      <c r="O221" s="62">
        <f>AVERAGE(83, 131, 145)</f>
        <v>119.66666666666667</v>
      </c>
      <c r="P221" s="62"/>
      <c r="Q221" s="62" t="s">
        <v>354</v>
      </c>
    </row>
    <row r="222" spans="2:17" ht="15" customHeight="1">
      <c r="B222" s="62" t="s">
        <v>355</v>
      </c>
      <c r="C222" s="10">
        <v>-21.0745</v>
      </c>
      <c r="D222" s="10">
        <v>-44.167020000000001</v>
      </c>
      <c r="E222" s="62">
        <f>AVERAGE(1110, 1904, 1520)</f>
        <v>1511.3333333333333</v>
      </c>
      <c r="F222" s="62">
        <f>SUM(G222:K222)</f>
        <v>1511.3333333333333</v>
      </c>
      <c r="G222" s="62">
        <f>E222*0.065005744</f>
        <v>98.245347765333335</v>
      </c>
      <c r="H222" s="62">
        <v>0</v>
      </c>
      <c r="I222" s="62">
        <f>E222*0.049265834</f>
        <v>74.457097118666667</v>
      </c>
      <c r="J222" s="62">
        <f>E222*0.33627391</f>
        <v>508.22196931333332</v>
      </c>
      <c r="K222" s="62">
        <f>E222*0.549454512</f>
        <v>830.40891913599989</v>
      </c>
      <c r="L222" s="62"/>
      <c r="M222" s="62" t="s">
        <v>271</v>
      </c>
      <c r="N222" s="62" t="s">
        <v>353</v>
      </c>
      <c r="O222" s="62">
        <f>AVERAGE(118, 134, 58)</f>
        <v>103.33333333333333</v>
      </c>
      <c r="P222" s="62"/>
      <c r="Q222" s="62" t="s">
        <v>354</v>
      </c>
    </row>
    <row r="223" spans="2:17" ht="15" customHeight="1">
      <c r="B223" s="62" t="s">
        <v>356</v>
      </c>
      <c r="C223" s="10">
        <v>-21.09599</v>
      </c>
      <c r="D223" s="10">
        <v>-44.132620000000003</v>
      </c>
      <c r="E223" s="62">
        <f>AVERAGE(210, 157, 253)</f>
        <v>206.66666666666666</v>
      </c>
      <c r="F223" s="62">
        <f>SUM(G223:K223)</f>
        <v>200.59409712666667</v>
      </c>
      <c r="G223" s="62">
        <v>0</v>
      </c>
      <c r="H223" s="62">
        <v>0</v>
      </c>
      <c r="I223" s="62">
        <f>E223*0.332265558</f>
        <v>68.668215320000002</v>
      </c>
      <c r="J223" s="62">
        <f>E223*0.128929736</f>
        <v>26.64547877333333</v>
      </c>
      <c r="K223" s="62">
        <f>E223*0.509421305</f>
        <v>105.28040303333334</v>
      </c>
      <c r="L223" s="62"/>
      <c r="M223" s="62" t="s">
        <v>271</v>
      </c>
      <c r="N223" s="62" t="s">
        <v>357</v>
      </c>
      <c r="O223" s="62">
        <f>AVERAGE(114, 43, 50)</f>
        <v>69</v>
      </c>
      <c r="P223" s="62"/>
      <c r="Q223" s="62" t="s">
        <v>354</v>
      </c>
    </row>
    <row r="224" spans="2:17" ht="15" customHeight="1">
      <c r="B224" s="62" t="s">
        <v>358</v>
      </c>
      <c r="C224" s="10">
        <v>-20.98854</v>
      </c>
      <c r="D224" s="10">
        <v>-43.93121</v>
      </c>
      <c r="E224" s="62">
        <f>AVERAGE(77,686,297)</f>
        <v>353.33333333333331</v>
      </c>
      <c r="F224" s="62">
        <f>SUM(G224:K224)</f>
        <v>29.339013193333333</v>
      </c>
      <c r="G224" s="62">
        <v>0</v>
      </c>
      <c r="H224" s="62">
        <v>0</v>
      </c>
      <c r="I224" s="62">
        <v>0</v>
      </c>
      <c r="J224" s="62">
        <f>E224*0.083034943</f>
        <v>29.339013193333333</v>
      </c>
      <c r="K224" s="62">
        <v>0</v>
      </c>
      <c r="L224" s="62"/>
      <c r="M224" s="62" t="s">
        <v>271</v>
      </c>
      <c r="N224" s="62" t="s">
        <v>357</v>
      </c>
      <c r="O224" s="62">
        <f>AVERAGE(179, 106, 210)</f>
        <v>165</v>
      </c>
      <c r="P224" s="62"/>
      <c r="Q224" s="62" t="s">
        <v>354</v>
      </c>
    </row>
    <row r="225" spans="2:17" ht="15" customHeight="1">
      <c r="B225" s="62" t="s">
        <v>359</v>
      </c>
      <c r="C225" s="10">
        <v>-21.02722</v>
      </c>
      <c r="D225" s="10">
        <v>-44.334539999999997</v>
      </c>
      <c r="E225" s="62">
        <f>AVERAGE(191230,60016,151251)</f>
        <v>134165.66666666666</v>
      </c>
      <c r="F225" s="62">
        <f>SUM(G225:K225)</f>
        <v>131411.49641979666</v>
      </c>
      <c r="G225" s="62">
        <v>0</v>
      </c>
      <c r="H225" s="62">
        <v>0</v>
      </c>
      <c r="I225" s="62">
        <v>0</v>
      </c>
      <c r="J225" s="62">
        <f>E225*0.97947187</f>
        <v>131411.49641979666</v>
      </c>
      <c r="K225" s="62">
        <v>0</v>
      </c>
      <c r="L225" s="62"/>
      <c r="M225" s="62" t="s">
        <v>271</v>
      </c>
      <c r="N225" s="62" t="s">
        <v>360</v>
      </c>
      <c r="O225" s="62">
        <f>AVERAGE(66, 34, 185)</f>
        <v>95</v>
      </c>
      <c r="P225" s="62"/>
      <c r="Q225" s="62" t="s">
        <v>354</v>
      </c>
    </row>
    <row r="226" spans="2:17" ht="15" customHeight="1">
      <c r="B226" s="62" t="s">
        <v>361</v>
      </c>
      <c r="C226" s="10">
        <v>-21.057310000000001</v>
      </c>
      <c r="D226" s="10">
        <v>-44.07694</v>
      </c>
      <c r="E226" s="62">
        <f>AVERAGE(25575,29595,39501)</f>
        <v>31557</v>
      </c>
      <c r="F226" s="62">
        <f>SUM(G226:K226)</f>
        <v>19403.621325279</v>
      </c>
      <c r="G226" s="62">
        <v>0</v>
      </c>
      <c r="H226" s="62">
        <v>0</v>
      </c>
      <c r="I226" s="62">
        <v>0</v>
      </c>
      <c r="J226" s="62">
        <f>E226*0.614875347</f>
        <v>19403.621325279</v>
      </c>
      <c r="K226" s="62">
        <v>0</v>
      </c>
      <c r="L226" s="62"/>
      <c r="M226" s="62" t="s">
        <v>271</v>
      </c>
      <c r="N226" s="62" t="s">
        <v>360</v>
      </c>
      <c r="O226" s="62">
        <f>AVERAGE(165, 238, 325)</f>
        <v>242.66666666666666</v>
      </c>
      <c r="P226" s="62"/>
      <c r="Q226" s="62" t="s">
        <v>354</v>
      </c>
    </row>
    <row r="227" spans="2:17" ht="15" customHeight="1">
      <c r="B227" s="62" t="s">
        <v>362</v>
      </c>
      <c r="C227" s="62">
        <v>141.596</v>
      </c>
      <c r="D227" s="62">
        <v>42.676000000000002</v>
      </c>
      <c r="E227" s="62"/>
      <c r="F227" s="62"/>
      <c r="G227" s="62"/>
      <c r="H227" s="62"/>
      <c r="I227" s="62"/>
      <c r="J227" s="62"/>
      <c r="K227" s="62"/>
      <c r="L227" s="10">
        <v>1160.4459999999999</v>
      </c>
      <c r="M227" s="62" t="s">
        <v>271</v>
      </c>
      <c r="N227" s="62" t="s">
        <v>363</v>
      </c>
      <c r="O227" s="62"/>
      <c r="P227" s="62"/>
      <c r="Q227" s="62" t="s">
        <v>364</v>
      </c>
    </row>
    <row r="228" spans="2:17" ht="15" customHeight="1">
      <c r="B228" s="62" t="s">
        <v>365</v>
      </c>
      <c r="C228" s="62">
        <v>-1.6285473538727999</v>
      </c>
      <c r="D228" s="38">
        <v>48.111303098601503</v>
      </c>
      <c r="E228" s="62"/>
      <c r="F228" s="62"/>
      <c r="G228" s="62"/>
      <c r="H228" s="62"/>
      <c r="I228" s="62"/>
      <c r="J228" s="62"/>
      <c r="K228" s="62"/>
      <c r="L228" s="10">
        <v>4048.3649999999998</v>
      </c>
      <c r="M228" s="62" t="s">
        <v>271</v>
      </c>
      <c r="N228" s="62" t="s">
        <v>366</v>
      </c>
      <c r="O228" s="62"/>
      <c r="P228" s="62"/>
      <c r="Q228" s="62" t="s">
        <v>367</v>
      </c>
    </row>
    <row r="229" spans="2:17" ht="15" customHeight="1">
      <c r="B229" s="39" t="s">
        <v>368</v>
      </c>
      <c r="C229" s="62">
        <v>93.9990782</v>
      </c>
      <c r="D229" s="62">
        <v>44.854009400000002</v>
      </c>
      <c r="E229" s="40">
        <v>4344.5085518740998</v>
      </c>
      <c r="F229" s="39">
        <v>4344.5075457499997</v>
      </c>
      <c r="G229" s="39">
        <v>864.80652459999999</v>
      </c>
      <c r="H229" s="39">
        <v>51.988740489999998</v>
      </c>
      <c r="I229" s="39">
        <v>2546.3923450000002</v>
      </c>
      <c r="J229" s="62"/>
      <c r="K229" s="62"/>
      <c r="L229" s="62"/>
      <c r="M229" s="62"/>
      <c r="N229" s="62" t="s">
        <v>369</v>
      </c>
      <c r="O229" s="62"/>
      <c r="P229" s="62"/>
      <c r="Q229" s="62"/>
    </row>
    <row r="230" spans="2:17" ht="15" customHeight="1">
      <c r="B230" s="39" t="s">
        <v>370</v>
      </c>
      <c r="C230" s="62">
        <v>93.9990782</v>
      </c>
      <c r="D230" s="62">
        <v>44.854009400000002</v>
      </c>
      <c r="E230" s="40">
        <v>10286.5363216718</v>
      </c>
      <c r="F230" s="39">
        <v>10286.5363216718</v>
      </c>
      <c r="G230" s="39">
        <v>1084.155548</v>
      </c>
      <c r="H230" s="39">
        <v>123.65491400000001</v>
      </c>
      <c r="I230" s="39">
        <v>4917.1986399999996</v>
      </c>
      <c r="J230" s="62"/>
      <c r="K230" s="62"/>
      <c r="L230" s="62"/>
      <c r="M230" s="62"/>
      <c r="N230" s="62"/>
      <c r="O230" s="62"/>
      <c r="P230" s="62"/>
      <c r="Q230" s="62"/>
    </row>
    <row r="231" spans="2:17" ht="15" customHeight="1">
      <c r="B231" s="41" t="s">
        <v>371</v>
      </c>
      <c r="C231" s="41">
        <v>94.2669195</v>
      </c>
      <c r="D231" s="62">
        <v>43.7546623</v>
      </c>
      <c r="E231" s="40">
        <v>2304.2132744031001</v>
      </c>
      <c r="F231" s="39">
        <v>2304.212771341</v>
      </c>
      <c r="G231" s="39">
        <v>634.40040839999995</v>
      </c>
      <c r="H231" s="39">
        <v>216.05885710000001</v>
      </c>
      <c r="I231" s="39">
        <v>661.79015900000002</v>
      </c>
      <c r="J231" s="62"/>
      <c r="K231" s="62"/>
      <c r="L231" s="62"/>
      <c r="M231" s="62"/>
      <c r="N231" s="62"/>
      <c r="O231" s="62"/>
      <c r="P231" s="62"/>
      <c r="Q231" s="62"/>
    </row>
    <row r="232" spans="2:17" ht="15" customHeight="1">
      <c r="B232" s="41" t="s">
        <v>372</v>
      </c>
      <c r="C232" s="41">
        <v>94.2669195</v>
      </c>
      <c r="D232" s="62">
        <v>43.7546623</v>
      </c>
      <c r="E232" s="40">
        <v>6306.8682631973998</v>
      </c>
      <c r="F232" s="39">
        <v>6306.8670854259999</v>
      </c>
      <c r="G232" s="39">
        <v>686.96516059999999</v>
      </c>
      <c r="H232" s="39">
        <v>151.83382140000001</v>
      </c>
      <c r="I232" s="39">
        <v>2967.9399699999999</v>
      </c>
      <c r="J232" s="62"/>
      <c r="K232" s="62"/>
      <c r="L232" s="62"/>
      <c r="M232" s="62"/>
      <c r="N232" s="62"/>
      <c r="O232" s="62"/>
      <c r="P232" s="62"/>
      <c r="Q232" s="62"/>
    </row>
    <row r="233" spans="2:17" ht="15" customHeight="1">
      <c r="B233" s="41" t="s">
        <v>373</v>
      </c>
      <c r="C233" s="41">
        <v>93.933716899999993</v>
      </c>
      <c r="D233" s="62">
        <v>44.501544899999999</v>
      </c>
      <c r="E233" s="40">
        <v>946.02372312299997</v>
      </c>
      <c r="F233" s="39">
        <v>946.02165959679996</v>
      </c>
      <c r="G233" s="39">
        <v>230.01396750000001</v>
      </c>
      <c r="H233" s="39">
        <v>12.60533706</v>
      </c>
      <c r="I233" s="39">
        <v>120.0379222</v>
      </c>
      <c r="J233" s="62"/>
      <c r="K233" s="62"/>
      <c r="L233" s="62"/>
      <c r="M233" s="62"/>
      <c r="N233" s="62"/>
      <c r="O233" s="62"/>
      <c r="P233" s="62"/>
      <c r="Q233" s="62"/>
    </row>
    <row r="234" spans="2:17" ht="15" customHeight="1">
      <c r="B234" s="41" t="s">
        <v>374</v>
      </c>
      <c r="C234" s="41">
        <v>93.933716899999993</v>
      </c>
      <c r="D234" s="62">
        <v>44.501544899999999</v>
      </c>
      <c r="E234" s="40">
        <v>1590.5884790835</v>
      </c>
      <c r="F234" s="39">
        <v>1590.5884790835</v>
      </c>
      <c r="G234" s="39">
        <v>348.56225590000003</v>
      </c>
      <c r="H234" s="39">
        <v>23.156391889999998</v>
      </c>
      <c r="I234" s="39">
        <v>153.14752250000001</v>
      </c>
      <c r="J234" s="62"/>
      <c r="K234" s="62"/>
      <c r="L234" s="62"/>
      <c r="M234" s="62"/>
      <c r="N234" s="62"/>
      <c r="O234" s="62"/>
      <c r="P234" s="62"/>
      <c r="Q234" s="62"/>
    </row>
    <row r="235" spans="2:17" ht="15" customHeight="1">
      <c r="B235" s="42" t="s">
        <v>375</v>
      </c>
      <c r="C235" s="43">
        <v>5.9016450000000003</v>
      </c>
      <c r="D235" s="43">
        <v>45.795943999999999</v>
      </c>
      <c r="E235" s="62"/>
      <c r="F235" s="62"/>
      <c r="G235" s="62"/>
      <c r="H235" s="62"/>
      <c r="I235" s="62"/>
      <c r="J235" s="62"/>
      <c r="K235" s="62"/>
      <c r="L235" s="10">
        <v>3577.1669999999999</v>
      </c>
      <c r="M235" s="62" t="s">
        <v>376</v>
      </c>
      <c r="N235" s="62" t="s">
        <v>377</v>
      </c>
      <c r="O235" s="62"/>
      <c r="P235" s="62"/>
      <c r="Q235" s="62" t="s">
        <v>378</v>
      </c>
    </row>
    <row r="236" spans="2:17" ht="15" customHeight="1">
      <c r="B236" s="66" t="s">
        <v>379</v>
      </c>
      <c r="C236" s="42">
        <v>-112.101842</v>
      </c>
      <c r="D236" s="62">
        <v>44.693956999999997</v>
      </c>
      <c r="E236" s="39">
        <v>1488.744676</v>
      </c>
      <c r="F236" s="62"/>
      <c r="G236" s="62"/>
      <c r="H236" s="62"/>
      <c r="I236" s="62"/>
      <c r="J236" s="62"/>
      <c r="K236" s="62"/>
      <c r="L236" s="62"/>
      <c r="M236" s="76" t="s">
        <v>275</v>
      </c>
      <c r="N236" s="62" t="s">
        <v>380</v>
      </c>
      <c r="O236" s="62"/>
      <c r="P236" s="62"/>
      <c r="Q236" s="62"/>
    </row>
    <row r="237" spans="2:17" ht="15" customHeight="1">
      <c r="B237" s="66" t="s">
        <v>381</v>
      </c>
      <c r="C237" s="62">
        <v>-112.108194</v>
      </c>
      <c r="D237" s="42">
        <v>44.656959999999998</v>
      </c>
      <c r="E237" s="39">
        <v>3045.6857458919999</v>
      </c>
      <c r="F237" s="62"/>
      <c r="G237" s="62"/>
      <c r="H237" s="62"/>
      <c r="I237" s="62"/>
      <c r="J237" s="62"/>
      <c r="K237" s="62"/>
      <c r="L237" s="62"/>
      <c r="M237" s="76" t="s">
        <v>275</v>
      </c>
      <c r="N237" s="62" t="s">
        <v>382</v>
      </c>
      <c r="O237" s="62"/>
      <c r="P237" s="62"/>
      <c r="Q237" s="62"/>
    </row>
    <row r="238" spans="2:17" ht="15" customHeight="1">
      <c r="B238" s="66" t="s">
        <v>383</v>
      </c>
      <c r="C238" s="42">
        <v>-112.102186</v>
      </c>
      <c r="D238" s="62">
        <v>44.691882</v>
      </c>
      <c r="E238" s="39">
        <v>4590.839899136</v>
      </c>
      <c r="F238" s="62"/>
      <c r="G238" s="62"/>
      <c r="H238" s="62"/>
      <c r="I238" s="62"/>
      <c r="J238" s="62"/>
      <c r="K238" s="62"/>
      <c r="L238" s="62"/>
      <c r="M238" s="76" t="s">
        <v>275</v>
      </c>
      <c r="N238" s="62" t="s">
        <v>384</v>
      </c>
      <c r="O238" s="62"/>
      <c r="P238" s="62"/>
      <c r="Q238" s="62"/>
    </row>
    <row r="239" spans="2:17" ht="15" customHeight="1">
      <c r="B239" s="65" t="s">
        <v>385</v>
      </c>
      <c r="C239" s="44">
        <v>-83.75</v>
      </c>
      <c r="D239" s="44">
        <v>35.033333300000002</v>
      </c>
      <c r="E239" s="40">
        <v>4505.1141804695999</v>
      </c>
      <c r="F239" s="62"/>
      <c r="G239" s="62"/>
      <c r="H239" s="62"/>
      <c r="I239" s="62"/>
      <c r="J239" s="62"/>
      <c r="K239" s="62"/>
      <c r="L239" s="62"/>
      <c r="M239" s="76" t="s">
        <v>275</v>
      </c>
      <c r="N239" s="62" t="s">
        <v>386</v>
      </c>
      <c r="O239" s="62"/>
      <c r="P239" s="62"/>
      <c r="Q239" s="62"/>
    </row>
    <row r="240" spans="2:17" ht="15" customHeight="1">
      <c r="B240" s="62" t="s">
        <v>387</v>
      </c>
      <c r="C240" s="62">
        <v>-89.019394470245402</v>
      </c>
      <c r="D240" s="38">
        <v>37.466740249647799</v>
      </c>
      <c r="E240" s="62"/>
      <c r="F240" s="62"/>
      <c r="G240" s="62"/>
      <c r="H240" s="62"/>
      <c r="I240" s="62"/>
      <c r="J240" s="62"/>
      <c r="K240" s="62"/>
      <c r="L240" s="10">
        <v>10982.67</v>
      </c>
      <c r="M240" s="62" t="s">
        <v>271</v>
      </c>
      <c r="N240" s="62" t="s">
        <v>388</v>
      </c>
      <c r="O240" s="62"/>
      <c r="P240" s="62"/>
      <c r="Q240" s="62"/>
    </row>
    <row r="241" spans="1:17" ht="15" customHeight="1">
      <c r="A241" s="62"/>
      <c r="B241" s="62" t="s">
        <v>389</v>
      </c>
      <c r="C241" s="38">
        <v>114.14976667385299</v>
      </c>
      <c r="D241" s="62">
        <v>22.417443040079998</v>
      </c>
      <c r="E241" s="62"/>
      <c r="F241" s="62"/>
      <c r="G241" s="62"/>
      <c r="H241" s="62"/>
      <c r="I241" s="62"/>
      <c r="J241" s="62"/>
      <c r="K241" s="62"/>
      <c r="L241" s="10">
        <v>1258.481</v>
      </c>
      <c r="M241" s="62" t="s">
        <v>271</v>
      </c>
      <c r="N241" s="62" t="s">
        <v>390</v>
      </c>
      <c r="O241" s="62"/>
      <c r="P241" s="62"/>
      <c r="Q241" s="62"/>
    </row>
    <row r="242" spans="1:17" ht="15" customHeight="1">
      <c r="A242" s="62"/>
      <c r="B242" s="62" t="s">
        <v>391</v>
      </c>
      <c r="C242" s="38">
        <v>114.181354299425</v>
      </c>
      <c r="D242" s="62">
        <v>22.4254709348989</v>
      </c>
      <c r="E242" s="62"/>
      <c r="F242" s="62"/>
      <c r="G242" s="62"/>
      <c r="H242" s="62"/>
      <c r="I242" s="62"/>
      <c r="J242" s="62"/>
      <c r="K242" s="62"/>
      <c r="L242" s="10">
        <v>992.76189999999997</v>
      </c>
      <c r="M242" s="62" t="s">
        <v>271</v>
      </c>
      <c r="N242" s="62" t="s">
        <v>390</v>
      </c>
      <c r="O242" s="62"/>
      <c r="P242" s="62"/>
      <c r="Q242" s="62"/>
    </row>
    <row r="243" spans="1:17" ht="15" customHeight="1">
      <c r="A243" s="62"/>
      <c r="B243" s="62" t="s">
        <v>392</v>
      </c>
      <c r="C243" s="62">
        <v>-42.31</v>
      </c>
      <c r="D243" s="62">
        <v>-22.14</v>
      </c>
      <c r="E243" s="62"/>
      <c r="F243" s="62">
        <v>1762</v>
      </c>
      <c r="G243" s="62"/>
      <c r="H243" s="62"/>
      <c r="I243" s="62"/>
      <c r="J243" s="62"/>
      <c r="K243" s="62"/>
      <c r="L243" s="62"/>
      <c r="M243" s="62" t="s">
        <v>271</v>
      </c>
      <c r="N243" s="62" t="s">
        <v>393</v>
      </c>
      <c r="O243" s="62"/>
      <c r="P243" s="62"/>
      <c r="Q243" s="62"/>
    </row>
    <row r="244" spans="1:17" ht="15" customHeight="1">
      <c r="A244" s="62"/>
      <c r="B244" s="62" t="s">
        <v>394</v>
      </c>
      <c r="C244" s="62">
        <v>134.56414599999999</v>
      </c>
      <c r="D244" s="62">
        <v>7.3755509999999997</v>
      </c>
      <c r="E244" s="62">
        <f>AVERAGE(6.92, 7.7)</f>
        <v>7.3100000000000005</v>
      </c>
      <c r="F244" s="62">
        <f>0.05+0.049+AVERAGE(0.007, 0.015)</f>
        <v>0.11</v>
      </c>
      <c r="G244" s="62">
        <v>0</v>
      </c>
      <c r="H244" s="62">
        <v>0</v>
      </c>
      <c r="I244" s="62">
        <v>0</v>
      </c>
      <c r="J244" s="62">
        <f>AVERAGE(0.007, 0.015)</f>
        <v>1.0999999999999999E-2</v>
      </c>
      <c r="K244" s="62">
        <f>0.05+0.049</f>
        <v>9.9000000000000005E-2</v>
      </c>
      <c r="L244" s="62"/>
      <c r="M244" s="62" t="s">
        <v>395</v>
      </c>
      <c r="N244" s="62" t="s">
        <v>396</v>
      </c>
      <c r="O244" s="62">
        <v>12</v>
      </c>
      <c r="P244" s="62">
        <v>3.5</v>
      </c>
      <c r="Q244" s="62" t="s">
        <v>65</v>
      </c>
    </row>
    <row r="245" spans="1:17" ht="15" customHeight="1">
      <c r="A245" s="62"/>
      <c r="B245" s="62" t="s">
        <v>397</v>
      </c>
      <c r="C245" s="62">
        <v>134.56414599999999</v>
      </c>
      <c r="D245" s="62">
        <v>7.3755509999999997</v>
      </c>
      <c r="E245" s="62">
        <f>AVERAGE(0.47, 0.77)</f>
        <v>0.62</v>
      </c>
      <c r="F245" s="62">
        <f>AVERAGE(0.003, 0.005)+AVERAGE(0.008, 0.015)+0.007</f>
        <v>2.2499999999999999E-2</v>
      </c>
      <c r="G245" s="62">
        <v>7.0000000000000001E-3</v>
      </c>
      <c r="H245" s="62">
        <v>0</v>
      </c>
      <c r="I245" s="62">
        <v>0</v>
      </c>
      <c r="J245" s="62">
        <f>AVERAGE(0.008, 0.015)</f>
        <v>1.15E-2</v>
      </c>
      <c r="K245" s="62">
        <f>AVERAGE(0.003, 0.005)</f>
        <v>4.0000000000000001E-3</v>
      </c>
      <c r="L245" s="62"/>
      <c r="M245" s="62" t="s">
        <v>395</v>
      </c>
      <c r="N245" s="62" t="s">
        <v>396</v>
      </c>
      <c r="O245" s="62"/>
      <c r="P245" s="62">
        <v>3.5</v>
      </c>
      <c r="Q245" s="62" t="s">
        <v>65</v>
      </c>
    </row>
    <row r="246" spans="1:17" ht="15" customHeight="1">
      <c r="A246" s="10">
        <v>20</v>
      </c>
      <c r="B246" s="10" t="s">
        <v>398</v>
      </c>
      <c r="C246" s="10">
        <v>-111.48</v>
      </c>
      <c r="D246" s="10">
        <v>36.93</v>
      </c>
      <c r="E246" s="10">
        <v>23700</v>
      </c>
      <c r="F246" s="10">
        <v>1243</v>
      </c>
      <c r="G246" s="10"/>
      <c r="H246" s="10"/>
      <c r="I246" s="10"/>
      <c r="J246" s="10">
        <v>718</v>
      </c>
      <c r="K246" s="10"/>
      <c r="L246" s="62"/>
      <c r="M246" s="16" t="s">
        <v>18</v>
      </c>
      <c r="N246" s="10" t="s">
        <v>399</v>
      </c>
      <c r="O246" s="10">
        <v>7</v>
      </c>
      <c r="P246" s="10"/>
      <c r="Q246" s="10" t="s">
        <v>161</v>
      </c>
    </row>
    <row r="247" spans="1:17" ht="15" customHeight="1">
      <c r="A247" s="10">
        <v>76</v>
      </c>
      <c r="B247" s="10" t="s">
        <v>400</v>
      </c>
      <c r="C247" s="38">
        <v>-77.121369000000001</v>
      </c>
      <c r="D247" s="38">
        <v>36.876541000000003</v>
      </c>
      <c r="E247" s="10">
        <v>103</v>
      </c>
      <c r="F247" s="10"/>
      <c r="G247" s="10"/>
      <c r="H247" s="10"/>
      <c r="I247" s="10"/>
      <c r="J247" s="10"/>
      <c r="K247" s="10"/>
      <c r="L247" s="62"/>
      <c r="M247" s="17" t="s">
        <v>87</v>
      </c>
      <c r="N247" s="10" t="s">
        <v>401</v>
      </c>
      <c r="O247" s="10">
        <v>1.2</v>
      </c>
      <c r="P247" s="10">
        <v>4.45</v>
      </c>
      <c r="Q247" s="10" t="s">
        <v>402</v>
      </c>
    </row>
    <row r="248" spans="1:17" ht="15" customHeight="1">
      <c r="A248" s="10">
        <v>77</v>
      </c>
      <c r="B248" s="10" t="s">
        <v>403</v>
      </c>
      <c r="C248" s="38">
        <v>-77.121369000000001</v>
      </c>
      <c r="D248" s="38">
        <v>36.876541000000003</v>
      </c>
      <c r="E248" s="10">
        <v>41</v>
      </c>
      <c r="F248" s="10"/>
      <c r="G248" s="10"/>
      <c r="H248" s="10"/>
      <c r="I248" s="10"/>
      <c r="J248" s="10"/>
      <c r="K248" s="10"/>
      <c r="L248" s="62"/>
      <c r="M248" s="17" t="s">
        <v>87</v>
      </c>
      <c r="N248" s="10" t="s">
        <v>401</v>
      </c>
      <c r="O248" s="10">
        <v>1.2</v>
      </c>
      <c r="P248" s="10">
        <v>4.45</v>
      </c>
      <c r="Q248" s="10" t="s">
        <v>402</v>
      </c>
    </row>
    <row r="249" spans="1:17" ht="15" customHeight="1">
      <c r="A249" s="62"/>
      <c r="B249" s="62" t="s">
        <v>404</v>
      </c>
      <c r="C249" s="62">
        <v>-111.480663164378</v>
      </c>
      <c r="D249" s="62">
        <v>33.887050003722898</v>
      </c>
      <c r="E249" s="62"/>
      <c r="F249" s="62"/>
      <c r="G249" s="62"/>
      <c r="H249" s="62"/>
      <c r="I249" s="62"/>
      <c r="J249" s="62"/>
      <c r="K249" s="62"/>
      <c r="L249" s="62">
        <v>23.1</v>
      </c>
      <c r="M249" s="62" t="s">
        <v>395</v>
      </c>
      <c r="N249" s="62" t="s">
        <v>405</v>
      </c>
      <c r="O249" s="62"/>
      <c r="P249" s="62"/>
      <c r="Q249" s="62" t="s">
        <v>207</v>
      </c>
    </row>
    <row r="250" spans="1:17" ht="15" customHeight="1">
      <c r="A250" s="62"/>
      <c r="B250" s="62" t="s">
        <v>406</v>
      </c>
      <c r="C250" s="62">
        <v>-82.003</v>
      </c>
      <c r="D250" s="62">
        <v>38.128999999999998</v>
      </c>
      <c r="E250" s="62">
        <v>14870.36563</v>
      </c>
      <c r="F250" s="62"/>
      <c r="G250" s="62"/>
      <c r="H250" s="62"/>
      <c r="I250" s="62"/>
      <c r="J250" s="62"/>
      <c r="K250" s="62"/>
      <c r="L250" s="62"/>
      <c r="M250" s="62" t="s">
        <v>271</v>
      </c>
      <c r="N250" s="62" t="s">
        <v>407</v>
      </c>
      <c r="O250" s="62"/>
      <c r="P250" s="62"/>
      <c r="Q250" s="62"/>
    </row>
    <row r="251" spans="1:17" ht="15" customHeight="1">
      <c r="A251" s="62"/>
      <c r="B251" s="62" t="s">
        <v>408</v>
      </c>
      <c r="C251" s="62">
        <v>-73.671363756821705</v>
      </c>
      <c r="D251" s="62">
        <v>45.854605834202403</v>
      </c>
      <c r="E251" s="62"/>
      <c r="F251" s="62"/>
      <c r="G251" s="62"/>
      <c r="H251" s="62"/>
      <c r="I251" s="62"/>
      <c r="J251" s="62"/>
      <c r="K251" s="62"/>
      <c r="L251" s="10">
        <v>6.1849999999999996</v>
      </c>
      <c r="M251" s="62" t="s">
        <v>395</v>
      </c>
      <c r="N251" s="62" t="s">
        <v>409</v>
      </c>
      <c r="O251" s="62"/>
      <c r="P251" s="62"/>
      <c r="Q251" s="62"/>
    </row>
    <row r="253" spans="1:17" ht="15" customHeight="1">
      <c r="A253" s="62"/>
      <c r="B253" s="62" t="s">
        <v>410</v>
      </c>
      <c r="C253" s="62">
        <v>7.5942468385162103</v>
      </c>
      <c r="D253" s="38">
        <v>49.545846797781202</v>
      </c>
      <c r="E253" s="62"/>
      <c r="F253" s="62"/>
      <c r="G253" s="62"/>
      <c r="H253" s="62"/>
      <c r="I253" s="62"/>
      <c r="J253" s="62"/>
      <c r="K253" s="62"/>
      <c r="L253" s="62">
        <v>5.44</v>
      </c>
      <c r="M253" s="62" t="s">
        <v>395</v>
      </c>
      <c r="N253" s="62" t="s">
        <v>411</v>
      </c>
      <c r="O253" s="62"/>
      <c r="P253" s="62"/>
      <c r="Q253" s="62"/>
    </row>
    <row r="254" spans="1:17" ht="15" customHeight="1">
      <c r="A254" s="62"/>
      <c r="B254" s="62" t="s">
        <v>412</v>
      </c>
      <c r="C254">
        <v>7.5942468385162103</v>
      </c>
      <c r="D254" s="54">
        <v>49.545846797781202</v>
      </c>
      <c r="E254" s="62"/>
      <c r="F254" s="62"/>
      <c r="G254" s="62"/>
      <c r="H254" s="62"/>
      <c r="I254" s="62"/>
      <c r="J254" s="62"/>
      <c r="K254" s="62"/>
      <c r="L254" s="62">
        <v>3.15</v>
      </c>
      <c r="M254" s="62" t="s">
        <v>395</v>
      </c>
      <c r="N254" s="62" t="s">
        <v>413</v>
      </c>
      <c r="O254" s="62"/>
      <c r="P254" s="62"/>
      <c r="Q254" s="62"/>
    </row>
    <row r="255" spans="1:17" ht="15" customHeight="1">
      <c r="A255" s="62"/>
      <c r="B255" s="62" t="s">
        <v>414</v>
      </c>
      <c r="C255">
        <v>7.5942468385162103</v>
      </c>
      <c r="D255" s="54">
        <v>49.545846797781202</v>
      </c>
      <c r="E255" s="62"/>
      <c r="F255" s="62"/>
      <c r="G255" s="62"/>
      <c r="H255" s="62"/>
      <c r="I255" s="62"/>
      <c r="J255" s="62"/>
      <c r="K255" s="62"/>
      <c r="L255" s="62">
        <v>3.74</v>
      </c>
      <c r="M255" s="62" t="s">
        <v>395</v>
      </c>
      <c r="N255" s="6" t="s">
        <v>411</v>
      </c>
      <c r="O255" s="62"/>
      <c r="P255" s="62"/>
      <c r="Q255" s="62"/>
    </row>
    <row r="256" spans="1:17" ht="15" customHeight="1">
      <c r="A256" s="62"/>
      <c r="B256" s="62" t="s">
        <v>415</v>
      </c>
      <c r="C256" s="6">
        <v>13.004001201634001</v>
      </c>
      <c r="D256" s="62">
        <v>50.929147972056803</v>
      </c>
      <c r="E256" s="45"/>
      <c r="F256" s="81"/>
      <c r="G256" s="62"/>
      <c r="H256" s="62"/>
      <c r="I256" s="62"/>
      <c r="J256" s="62"/>
      <c r="K256" s="62"/>
      <c r="L256" s="62">
        <v>2.3199999999999998</v>
      </c>
      <c r="M256" s="62" t="s">
        <v>395</v>
      </c>
      <c r="N256" s="6" t="s">
        <v>416</v>
      </c>
      <c r="O256" s="62"/>
      <c r="P256" s="62"/>
      <c r="Q256" s="62"/>
    </row>
    <row r="257" spans="2:14" ht="15" customHeight="1">
      <c r="B257" s="62" t="s">
        <v>417</v>
      </c>
      <c r="C257" s="6">
        <v>9.3970192290494801</v>
      </c>
      <c r="D257" s="62">
        <v>49.909672473981502</v>
      </c>
      <c r="E257" s="62"/>
      <c r="F257" s="42"/>
      <c r="G257" s="62"/>
      <c r="H257" s="62"/>
      <c r="I257" s="62"/>
      <c r="J257" s="62"/>
      <c r="K257" s="62"/>
      <c r="L257" s="62">
        <v>3.17</v>
      </c>
      <c r="M257" s="62" t="s">
        <v>395</v>
      </c>
      <c r="N257" s="6" t="s">
        <v>411</v>
      </c>
    </row>
    <row r="258" spans="2:14" ht="15" customHeight="1">
      <c r="B258" s="62" t="s">
        <v>418</v>
      </c>
      <c r="C258" s="62">
        <v>26.6</v>
      </c>
      <c r="D258" s="62">
        <v>-33.3645</v>
      </c>
      <c r="E258" s="45"/>
      <c r="F258" s="42"/>
      <c r="G258" s="62"/>
      <c r="H258" s="62"/>
      <c r="I258" s="62"/>
      <c r="J258" s="62"/>
      <c r="K258" s="62"/>
      <c r="L258" s="82">
        <v>26960.052169888666</v>
      </c>
      <c r="M258" s="62" t="s">
        <v>271</v>
      </c>
      <c r="N258" s="62" t="s">
        <v>419</v>
      </c>
    </row>
    <row r="259" spans="2:14" ht="15" customHeight="1">
      <c r="B259" s="62" t="s">
        <v>420</v>
      </c>
      <c r="C259" s="62">
        <v>26.797999999999998</v>
      </c>
      <c r="D259" s="62">
        <v>-33.473999999999997</v>
      </c>
      <c r="E259" s="45"/>
      <c r="F259" s="42"/>
      <c r="G259" s="62"/>
      <c r="H259" s="62"/>
      <c r="I259" s="62"/>
      <c r="J259" s="62"/>
      <c r="K259" s="62"/>
      <c r="L259" s="82">
        <v>163391.22784969109</v>
      </c>
      <c r="M259" s="62" t="s">
        <v>271</v>
      </c>
      <c r="N259" s="62"/>
    </row>
    <row r="260" spans="2:14" ht="15" customHeight="1">
      <c r="B260" s="62" t="s">
        <v>421</v>
      </c>
      <c r="C260" s="62">
        <v>26.808</v>
      </c>
      <c r="D260" s="62">
        <v>-33.549999999999997</v>
      </c>
      <c r="E260" s="45"/>
      <c r="F260" s="42"/>
      <c r="G260" s="62"/>
      <c r="H260" s="62"/>
      <c r="I260" s="62"/>
      <c r="J260" s="62"/>
      <c r="K260" s="62"/>
      <c r="L260" s="82">
        <v>144218.33343862518</v>
      </c>
      <c r="M260" s="62" t="s">
        <v>271</v>
      </c>
      <c r="N260" s="62"/>
    </row>
    <row r="261" spans="2:14" ht="15" customHeight="1">
      <c r="B261" s="62" t="s">
        <v>422</v>
      </c>
      <c r="C261" s="62">
        <v>-79.75</v>
      </c>
      <c r="D261" s="62">
        <v>42.22</v>
      </c>
      <c r="E261" s="62">
        <v>4084.76</v>
      </c>
      <c r="F261" s="62"/>
      <c r="G261" s="62"/>
      <c r="H261" s="62"/>
      <c r="I261" s="62"/>
      <c r="J261" s="62"/>
      <c r="K261" s="62"/>
      <c r="L261" s="62">
        <v>743.14</v>
      </c>
      <c r="M261" s="62" t="s">
        <v>271</v>
      </c>
      <c r="N261" s="62" t="s">
        <v>423</v>
      </c>
    </row>
    <row r="262" spans="2:14" ht="15" customHeight="1"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</row>
    <row r="265" spans="2:14" ht="15" customHeight="1">
      <c r="B265" s="62"/>
      <c r="C265" s="62"/>
      <c r="D265" s="1"/>
      <c r="E265" s="1"/>
      <c r="F265" s="7"/>
      <c r="G265" s="62"/>
      <c r="H265" s="62"/>
      <c r="I265" s="62"/>
      <c r="J265" s="62"/>
      <c r="K265" s="62"/>
      <c r="L265" s="62"/>
      <c r="M265" s="62"/>
      <c r="N265" s="62"/>
    </row>
    <row r="266" spans="2:14" ht="15" customHeight="1">
      <c r="B266" s="62"/>
      <c r="C266" s="62"/>
      <c r="D266" s="1"/>
      <c r="E266" s="1"/>
      <c r="F266" s="7"/>
      <c r="G266" s="62"/>
      <c r="H266" s="62"/>
      <c r="I266" s="62"/>
      <c r="J266" s="62"/>
      <c r="K266" s="62"/>
      <c r="L266" s="62"/>
      <c r="M266" s="62"/>
      <c r="N266" s="62"/>
    </row>
    <row r="267" spans="2:14" ht="15" customHeight="1">
      <c r="B267" s="62"/>
      <c r="C267" s="62"/>
      <c r="D267" s="1"/>
      <c r="E267" s="1"/>
      <c r="F267" s="7"/>
      <c r="G267" s="62"/>
      <c r="H267" s="62"/>
      <c r="I267" s="62"/>
      <c r="J267" s="62"/>
      <c r="K267" s="62"/>
      <c r="L267" s="62"/>
      <c r="M267" s="62"/>
      <c r="N267" s="62"/>
    </row>
    <row r="268" spans="2:14" ht="15" customHeight="1">
      <c r="B268" s="62"/>
      <c r="C268" s="62"/>
      <c r="D268" s="1"/>
      <c r="E268" s="1"/>
      <c r="F268" s="7"/>
      <c r="G268" s="62"/>
      <c r="H268" s="62"/>
      <c r="I268" s="62"/>
      <c r="J268" s="62"/>
      <c r="K268" s="62"/>
      <c r="L268" s="62"/>
      <c r="M268" s="62"/>
      <c r="N268" s="62"/>
    </row>
    <row r="269" spans="2:14" ht="15" customHeight="1"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</row>
  </sheetData>
  <sortState xmlns:xlrd2="http://schemas.microsoft.com/office/spreadsheetml/2017/richdata2" ref="A2:Q174">
    <sortCondition ref="B2:B174"/>
  </sortState>
  <mergeCells count="4">
    <mergeCell ref="G214:I214"/>
    <mergeCell ref="G215:I215"/>
    <mergeCell ref="G216:I216"/>
    <mergeCell ref="G217:I21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636ED-E1F1-408E-9A4F-4FA418C33753}">
  <dimension ref="A1:F26"/>
  <sheetViews>
    <sheetView workbookViewId="0"/>
  </sheetViews>
  <sheetFormatPr defaultRowHeight="15"/>
  <sheetData>
    <row r="1" spans="1:6">
      <c r="A1" t="s">
        <v>424</v>
      </c>
      <c r="B1" t="s">
        <v>425</v>
      </c>
      <c r="C1" t="s">
        <v>426</v>
      </c>
      <c r="D1" t="s">
        <v>427</v>
      </c>
    </row>
    <row r="2" spans="1:6">
      <c r="A2">
        <f>B2/C2</f>
        <v>0.23670668953687823</v>
      </c>
      <c r="B2" s="2">
        <v>13.8</v>
      </c>
      <c r="C2">
        <v>58.3</v>
      </c>
      <c r="D2" s="3" t="s">
        <v>428</v>
      </c>
      <c r="F2" s="4" t="s">
        <v>429</v>
      </c>
    </row>
    <row r="3" spans="1:6">
      <c r="A3">
        <f>B3/C3</f>
        <v>7.9279279279279288E-2</v>
      </c>
      <c r="B3">
        <v>4.4000000000000004</v>
      </c>
      <c r="C3">
        <v>55.5</v>
      </c>
      <c r="D3" s="3" t="s">
        <v>430</v>
      </c>
      <c r="F3" s="3"/>
    </row>
    <row r="4" spans="1:6">
      <c r="A4">
        <f>B4/C4</f>
        <v>0.80555555555555547</v>
      </c>
      <c r="B4">
        <v>2.9</v>
      </c>
      <c r="C4">
        <v>3.6</v>
      </c>
      <c r="D4" s="3" t="s">
        <v>431</v>
      </c>
      <c r="F4" s="3"/>
    </row>
    <row r="5" spans="1:6">
      <c r="A5">
        <f>B5/C5</f>
        <v>0.18181818181818182</v>
      </c>
      <c r="B5">
        <v>5.4</v>
      </c>
      <c r="C5">
        <v>29.7</v>
      </c>
      <c r="D5" s="3" t="s">
        <v>428</v>
      </c>
      <c r="F5" s="4" t="s">
        <v>432</v>
      </c>
    </row>
    <row r="6" spans="1:6">
      <c r="A6">
        <f>B6/C6</f>
        <v>0.1858974358974359</v>
      </c>
      <c r="B6">
        <v>2.9</v>
      </c>
      <c r="C6">
        <v>15.6</v>
      </c>
      <c r="D6" s="3" t="s">
        <v>431</v>
      </c>
      <c r="F6" s="4" t="s">
        <v>433</v>
      </c>
    </row>
    <row r="7" spans="1:6">
      <c r="A7">
        <f>B7/C7</f>
        <v>0.20754716981132079</v>
      </c>
      <c r="B7">
        <v>1.1000000000000001</v>
      </c>
      <c r="C7">
        <v>5.3</v>
      </c>
      <c r="D7" s="3" t="s">
        <v>434</v>
      </c>
      <c r="F7" s="4" t="s">
        <v>435</v>
      </c>
    </row>
    <row r="8" spans="1:6">
      <c r="A8">
        <f>B8/C8</f>
        <v>0.16666666666666669</v>
      </c>
      <c r="B8">
        <v>0.1</v>
      </c>
      <c r="C8">
        <v>0.6</v>
      </c>
      <c r="D8" s="3" t="s">
        <v>430</v>
      </c>
      <c r="F8" s="3"/>
    </row>
    <row r="9" spans="1:6">
      <c r="A9">
        <f>B9/C9</f>
        <v>0.26315789473684209</v>
      </c>
      <c r="B9">
        <v>0.5</v>
      </c>
      <c r="C9">
        <v>1.9</v>
      </c>
      <c r="D9" s="3" t="s">
        <v>431</v>
      </c>
      <c r="F9" s="3"/>
    </row>
    <row r="10" spans="1:6">
      <c r="A10">
        <f>B10/C10</f>
        <v>0.18103448275862069</v>
      </c>
      <c r="B10">
        <v>4.2</v>
      </c>
      <c r="C10">
        <v>23.2</v>
      </c>
      <c r="D10" s="3" t="s">
        <v>428</v>
      </c>
      <c r="F10" s="4" t="s">
        <v>436</v>
      </c>
    </row>
    <row r="11" spans="1:6">
      <c r="A11">
        <f>B11/C11</f>
        <v>0.16666666666666669</v>
      </c>
      <c r="B11">
        <v>0.4</v>
      </c>
      <c r="C11">
        <v>2.4</v>
      </c>
      <c r="D11" s="3" t="s">
        <v>430</v>
      </c>
      <c r="F11" s="3"/>
    </row>
    <row r="12" spans="1:6">
      <c r="A12">
        <f>B12/C12</f>
        <v>0.17894736842105263</v>
      </c>
      <c r="B12">
        <v>1.7</v>
      </c>
      <c r="C12">
        <v>9.5</v>
      </c>
      <c r="D12" s="3" t="s">
        <v>431</v>
      </c>
      <c r="F12" s="3"/>
    </row>
    <row r="13" spans="1:6">
      <c r="B13" t="s">
        <v>437</v>
      </c>
      <c r="C13">
        <v>3.9</v>
      </c>
      <c r="D13" s="3" t="s">
        <v>438</v>
      </c>
      <c r="F13" s="4" t="s">
        <v>439</v>
      </c>
    </row>
    <row r="14" spans="1:6">
      <c r="A14">
        <f>B14/C14</f>
        <v>0.1815068493150685</v>
      </c>
      <c r="B14">
        <v>5.3</v>
      </c>
      <c r="C14">
        <v>29.2</v>
      </c>
      <c r="D14" s="3" t="s">
        <v>428</v>
      </c>
      <c r="F14" s="4" t="s">
        <v>440</v>
      </c>
    </row>
    <row r="15" spans="1:6">
      <c r="B15" t="s">
        <v>437</v>
      </c>
      <c r="C15">
        <v>21.8</v>
      </c>
      <c r="D15" s="3" t="s">
        <v>438</v>
      </c>
      <c r="F15" s="4" t="s">
        <v>441</v>
      </c>
    </row>
    <row r="16" spans="1:6">
      <c r="A16">
        <f>B16/C16</f>
        <v>0.18666666666666665</v>
      </c>
      <c r="B16">
        <v>1.4</v>
      </c>
      <c r="C16">
        <v>7.5</v>
      </c>
      <c r="D16" s="3" t="s">
        <v>442</v>
      </c>
      <c r="F16" s="3"/>
    </row>
    <row r="17" spans="1:6">
      <c r="A17">
        <f>B17/C17</f>
        <v>0.18367346938775508</v>
      </c>
      <c r="B17">
        <v>0.9</v>
      </c>
      <c r="C17">
        <v>4.9000000000000004</v>
      </c>
      <c r="D17" s="3" t="s">
        <v>438</v>
      </c>
      <c r="F17" s="4" t="s">
        <v>443</v>
      </c>
    </row>
    <row r="18" spans="1:6">
      <c r="A18">
        <f>B18/C18</f>
        <v>0.18095238095238095</v>
      </c>
      <c r="B18">
        <v>3.8</v>
      </c>
      <c r="C18">
        <v>21</v>
      </c>
      <c r="D18" s="3" t="s">
        <v>438</v>
      </c>
      <c r="F18" s="3" t="s">
        <v>444</v>
      </c>
    </row>
    <row r="19" spans="1:6">
      <c r="A19">
        <f>B19/C19</f>
        <v>0.18032786885245905</v>
      </c>
      <c r="B19">
        <v>1.1000000000000001</v>
      </c>
      <c r="C19">
        <v>6.1</v>
      </c>
      <c r="D19" s="3" t="s">
        <v>428</v>
      </c>
      <c r="F19" s="3"/>
    </row>
    <row r="20" spans="1:6">
      <c r="A20">
        <f>B20/C20</f>
        <v>0.18918918918918917</v>
      </c>
      <c r="B20">
        <v>0.7</v>
      </c>
      <c r="C20">
        <v>3.7</v>
      </c>
      <c r="D20" s="3" t="s">
        <v>430</v>
      </c>
      <c r="F20" s="3"/>
    </row>
    <row r="21" spans="1:6">
      <c r="A21">
        <f>B21/C21</f>
        <v>0.18750000000000003</v>
      </c>
      <c r="B21">
        <v>2.1</v>
      </c>
      <c r="C21">
        <v>11.2</v>
      </c>
      <c r="D21" s="3" t="s">
        <v>431</v>
      </c>
      <c r="F21" s="3"/>
    </row>
    <row r="22" spans="1:6">
      <c r="A22">
        <f>B22/C22</f>
        <v>0.38565400843881859</v>
      </c>
      <c r="B22">
        <f>9.14*0.001</f>
        <v>9.1400000000000006E-3</v>
      </c>
      <c r="C22">
        <f>23.7*0.001</f>
        <v>2.3699999999999999E-2</v>
      </c>
      <c r="D22" t="s">
        <v>430</v>
      </c>
      <c r="F22" t="s">
        <v>445</v>
      </c>
    </row>
    <row r="23" spans="1:6">
      <c r="A23">
        <f>B23/C23</f>
        <v>0.19782034346103039</v>
      </c>
      <c r="B23">
        <f>5.99*0.001</f>
        <v>5.9900000000000005E-3</v>
      </c>
      <c r="C23">
        <f>30.28*0.001</f>
        <v>3.0280000000000001E-2</v>
      </c>
      <c r="D23" t="s">
        <v>430</v>
      </c>
    </row>
    <row r="26" spans="1:6">
      <c r="A26" s="5">
        <f>AVERAGE(A2:A23)</f>
        <v>0.22632840837059343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0B359-DDAC-4423-9C1C-8BD6D3F614C1}">
  <dimension ref="A1:A15"/>
  <sheetViews>
    <sheetView workbookViewId="0">
      <selection activeCell="C24" sqref="C24"/>
    </sheetView>
  </sheetViews>
  <sheetFormatPr defaultRowHeight="14.45"/>
  <sheetData>
    <row r="1" spans="1:1">
      <c r="A1" t="s">
        <v>446</v>
      </c>
    </row>
    <row r="2" spans="1:1">
      <c r="A2" t="s">
        <v>447</v>
      </c>
    </row>
    <row r="3" spans="1:1">
      <c r="A3" t="s">
        <v>448</v>
      </c>
    </row>
    <row r="4" spans="1:1">
      <c r="A4" t="s">
        <v>449</v>
      </c>
    </row>
    <row r="5" spans="1:1">
      <c r="A5" t="s">
        <v>450</v>
      </c>
    </row>
    <row r="6" spans="1:1">
      <c r="A6" t="s">
        <v>451</v>
      </c>
    </row>
    <row r="7" spans="1:1">
      <c r="A7" t="s">
        <v>452</v>
      </c>
    </row>
    <row r="8" spans="1:1">
      <c r="A8" t="s">
        <v>453</v>
      </c>
    </row>
    <row r="9" spans="1:1">
      <c r="A9" t="s">
        <v>454</v>
      </c>
    </row>
    <row r="10" spans="1:1">
      <c r="A10" t="s">
        <v>455</v>
      </c>
    </row>
    <row r="11" spans="1:1">
      <c r="A11" t="s">
        <v>456</v>
      </c>
    </row>
    <row r="12" spans="1:1">
      <c r="A12" t="s">
        <v>457</v>
      </c>
    </row>
    <row r="13" spans="1:1">
      <c r="A13" t="s">
        <v>458</v>
      </c>
    </row>
    <row r="14" spans="1:1">
      <c r="A14" t="s">
        <v>459</v>
      </c>
    </row>
    <row r="15" spans="1:1">
      <c r="A15" t="s">
        <v>460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C9502-8F7A-4FF5-ABDE-CE621B355E53}">
  <dimension ref="A1:F26"/>
  <sheetViews>
    <sheetView workbookViewId="0">
      <selection sqref="A1:G16"/>
    </sheetView>
  </sheetViews>
  <sheetFormatPr defaultRowHeight="15"/>
  <cols>
    <col min="1" max="1" width="17.42578125" customWidth="1"/>
    <col min="6" max="6" width="9.28515625" bestFit="1" customWidth="1"/>
  </cols>
  <sheetData>
    <row r="1" spans="1:6">
      <c r="A1" s="57"/>
      <c r="B1" s="57"/>
      <c r="C1" s="57"/>
      <c r="D1" s="57"/>
      <c r="E1" s="57"/>
      <c r="F1" s="57"/>
    </row>
    <row r="2" spans="1:6">
      <c r="A2" s="56"/>
      <c r="B2" s="56"/>
      <c r="C2" s="55"/>
      <c r="D2" s="58"/>
      <c r="E2" s="60"/>
      <c r="F2" s="60"/>
    </row>
    <row r="3" spans="1:6">
      <c r="B3" s="56"/>
      <c r="C3" s="55"/>
      <c r="D3" s="59"/>
      <c r="E3" s="59"/>
      <c r="F3" s="59"/>
    </row>
    <row r="4" spans="1:6">
      <c r="A4" s="56"/>
      <c r="B4" s="56"/>
      <c r="C4" s="55"/>
      <c r="D4" s="59"/>
      <c r="E4" s="59"/>
      <c r="F4" s="59"/>
    </row>
    <row r="5" spans="1:6">
      <c r="B5" s="56"/>
      <c r="C5" s="55"/>
      <c r="D5" s="59"/>
      <c r="E5" s="59"/>
      <c r="F5" s="59"/>
    </row>
    <row r="6" spans="1:6">
      <c r="A6" s="56"/>
      <c r="B6" s="56"/>
      <c r="C6" s="55"/>
      <c r="D6" s="59"/>
      <c r="E6" s="59"/>
      <c r="F6" s="59"/>
    </row>
    <row r="7" spans="1:6">
      <c r="B7" s="56"/>
      <c r="C7" s="55"/>
      <c r="D7" s="59"/>
      <c r="E7" s="59"/>
      <c r="F7" s="59"/>
    </row>
    <row r="8" spans="1:6">
      <c r="A8" s="56"/>
      <c r="B8" s="56"/>
      <c r="C8" s="55"/>
      <c r="D8" s="59"/>
      <c r="E8" s="59"/>
      <c r="F8" s="59"/>
    </row>
    <row r="9" spans="1:6">
      <c r="B9" s="56"/>
      <c r="C9" s="55"/>
      <c r="D9" s="59"/>
      <c r="E9" s="59"/>
      <c r="F9" s="59"/>
    </row>
    <row r="10" spans="1:6">
      <c r="A10" s="56"/>
      <c r="B10" s="56"/>
      <c r="C10" s="55"/>
      <c r="D10" s="59"/>
      <c r="E10" s="59"/>
      <c r="F10" s="59"/>
    </row>
    <row r="11" spans="1:6">
      <c r="B11" s="56"/>
      <c r="C11" s="55"/>
      <c r="D11" s="59"/>
      <c r="E11" s="59"/>
      <c r="F11" s="59"/>
    </row>
    <row r="12" spans="1:6">
      <c r="A12" s="56"/>
      <c r="B12" s="56"/>
      <c r="C12" s="55"/>
      <c r="D12" s="59"/>
      <c r="E12" s="59"/>
      <c r="F12" s="59"/>
    </row>
    <row r="13" spans="1:6">
      <c r="B13" s="56"/>
      <c r="C13" s="55"/>
      <c r="D13" s="59"/>
      <c r="E13" s="59"/>
      <c r="F13" s="59"/>
    </row>
    <row r="15" spans="1:6">
      <c r="D15" s="58"/>
      <c r="E15" s="58"/>
      <c r="F15" s="58"/>
    </row>
    <row r="16" spans="1:6">
      <c r="D16" s="58"/>
      <c r="E16" s="58"/>
      <c r="F16" s="58"/>
    </row>
    <row r="17" spans="4:6">
      <c r="D17" s="58"/>
      <c r="E17" s="58"/>
      <c r="F17" s="58"/>
    </row>
    <row r="18" spans="4:6">
      <c r="D18" s="58"/>
      <c r="E18" s="58"/>
      <c r="F18" s="58"/>
    </row>
    <row r="19" spans="4:6">
      <c r="D19" s="58"/>
      <c r="E19" s="58"/>
      <c r="F19" s="58"/>
    </row>
    <row r="20" spans="4:6">
      <c r="D20" s="58"/>
      <c r="E20" s="58"/>
      <c r="F20" s="58"/>
    </row>
    <row r="21" spans="4:6">
      <c r="D21" s="58"/>
      <c r="E21" s="58"/>
      <c r="F21" s="58"/>
    </row>
    <row r="22" spans="4:6">
      <c r="D22" s="58"/>
      <c r="E22" s="58"/>
      <c r="F22" s="58"/>
    </row>
    <row r="23" spans="4:6">
      <c r="D23" s="58"/>
      <c r="E23" s="58"/>
      <c r="F23" s="58"/>
    </row>
    <row r="24" spans="4:6">
      <c r="D24" s="58"/>
      <c r="E24" s="58"/>
      <c r="F24" s="58"/>
    </row>
    <row r="25" spans="4:6">
      <c r="D25" s="58"/>
      <c r="E25" s="58"/>
      <c r="F25" s="58"/>
    </row>
    <row r="26" spans="4:6">
      <c r="D26" s="58"/>
      <c r="E26" s="58"/>
      <c r="F26" s="5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EA876AF305721488DA47DBFD2ACFB17" ma:contentTypeVersion="11" ma:contentTypeDescription="Create a new document." ma:contentTypeScope="" ma:versionID="bb2c9507deb23dddadc3a7a145e1d328">
  <xsd:schema xmlns:xsd="http://www.w3.org/2001/XMLSchema" xmlns:xs="http://www.w3.org/2001/XMLSchema" xmlns:p="http://schemas.microsoft.com/office/2006/metadata/properties" xmlns:ns1="http://schemas.microsoft.com/sharepoint/v3" xmlns:ns2="613700a6-52d8-45ba-99cf-babbe92a0eb2" targetNamespace="http://schemas.microsoft.com/office/2006/metadata/properties" ma:root="true" ma:fieldsID="e2cb7a7579ea1114cd5d791bf8e98040" ns1:_="" ns2:_="">
    <xsd:import namespace="http://schemas.microsoft.com/sharepoint/v3"/>
    <xsd:import namespace="613700a6-52d8-45ba-99cf-babbe92a0e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Not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3700a6-52d8-45ba-99cf-babbe92a0e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Notes" ma:index="11" nillable="true" ma:displayName="Notes" ma:format="Dropdown" ma:internalName="Notes">
      <xsd:simpleType>
        <xsd:restriction base="dms:Text">
          <xsd:maxLength value="255"/>
        </xsd:restriction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Notes xmlns="613700a6-52d8-45ba-99cf-babbe92a0eb2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7A634CD8-3C3D-45DC-A2F8-29F07E681EBC}"/>
</file>

<file path=customXml/itemProps2.xml><?xml version="1.0" encoding="utf-8"?>
<ds:datastoreItem xmlns:ds="http://schemas.openxmlformats.org/officeDocument/2006/customXml" ds:itemID="{433308D7-B8A0-4DFF-87B9-574B6AB1AD1D}"/>
</file>

<file path=customXml/itemProps3.xml><?xml version="1.0" encoding="utf-8"?>
<ds:datastoreItem xmlns:ds="http://schemas.openxmlformats.org/officeDocument/2006/customXml" ds:itemID="{3804759A-0ED2-4AEA-AA96-D7D03485E0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2023-11-07T13:49:45Z</dcterms:created>
  <dcterms:modified xsi:type="dcterms:W3CDTF">2024-11-14T16:12:03Z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0x010100FEA876AF305721488DA47DBFD2ACFB17</vt:lpwstr>
  </property>
</Properties>
</file>